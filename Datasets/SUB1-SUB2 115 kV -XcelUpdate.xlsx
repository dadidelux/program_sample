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rianChe\Desktop\Programming Scope\Assignment\Datasets\"/>
    </mc:Choice>
  </mc:AlternateContent>
  <xr:revisionPtr revIDLastSave="0" documentId="13_ncr:1_{C9716F8A-B254-4A2C-9580-D81DB6799EB8}" xr6:coauthVersionLast="47" xr6:coauthVersionMax="47" xr10:uidLastSave="{00000000-0000-0000-0000-000000000000}"/>
  <bookViews>
    <workbookView xWindow="-120" yWindow="-120" windowWidth="29040" windowHeight="15720" firstSheet="1" activeTab="1" xr2:uid="{71EC5802-4A8F-475E-A75C-F2FDEB1A33C4}"/>
  </bookViews>
  <sheets>
    <sheet name="Facility Summary" sheetId="7" r:id="rId1"/>
    <sheet name="CAISO Update" sheetId="1" r:id="rId2"/>
    <sheet name="Source Doc Ref Tbl" sheetId="6" r:id="rId3"/>
    <sheet name="Calcs" sheetId="4" r:id="rId4"/>
  </sheets>
  <definedNames>
    <definedName name="_xlnm._FilterDatabase" localSheetId="1" hidden="1">'CAISO Update'!$A$1:$AG$58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7" l="1"/>
  <c r="D6" i="7"/>
  <c r="I4" i="4" l="1"/>
  <c r="H4" i="4"/>
  <c r="G4" i="4"/>
  <c r="D4" i="4"/>
  <c r="C4" i="4"/>
  <c r="B4" i="4"/>
  <c r="M3" i="4"/>
  <c r="L3" i="4"/>
</calcChain>
</file>

<file path=xl/sharedStrings.xml><?xml version="1.0" encoding="utf-8"?>
<sst xmlns="http://schemas.openxmlformats.org/spreadsheetml/2006/main" count="718" uniqueCount="155">
  <si>
    <t>Facility Name</t>
  </si>
  <si>
    <t>SN</t>
  </si>
  <si>
    <t>SE</t>
  </si>
  <si>
    <t>WN</t>
  </si>
  <si>
    <t>WE</t>
  </si>
  <si>
    <t>TLS1</t>
  </si>
  <si>
    <t>Most limiting</t>
  </si>
  <si>
    <t>limiting element</t>
  </si>
  <si>
    <t>Next limiting</t>
  </si>
  <si>
    <t>TLS2</t>
  </si>
  <si>
    <t>Type of Change</t>
  </si>
  <si>
    <t>OID</t>
  </si>
  <si>
    <t>Station Name</t>
  </si>
  <si>
    <t>Component Description</t>
  </si>
  <si>
    <t>Component Type</t>
  </si>
  <si>
    <t>High kV</t>
  </si>
  <si>
    <t>Low kV</t>
  </si>
  <si>
    <t>Tertiary kV</t>
  </si>
  <si>
    <t>Length</t>
  </si>
  <si>
    <t>ISO Control</t>
  </si>
  <si>
    <t>Units</t>
  </si>
  <si>
    <t>Additional Information</t>
  </si>
  <si>
    <t>Line Number</t>
  </si>
  <si>
    <t>Rating Type</t>
  </si>
  <si>
    <t>High Rating</t>
  </si>
  <si>
    <t>Low Rating</t>
  </si>
  <si>
    <t>Duration</t>
  </si>
  <si>
    <t>Note #</t>
  </si>
  <si>
    <t>[TRANSMISSION LINE]</t>
  </si>
  <si>
    <t>TRINITY-COTTONWOOD</t>
  </si>
  <si>
    <t>TL</t>
  </si>
  <si>
    <t>Y</t>
  </si>
  <si>
    <t>AMPS</t>
  </si>
  <si>
    <t>Previously Submitted</t>
  </si>
  <si>
    <t>TRINITY</t>
  </si>
  <si>
    <t>115 kV MAIN BUS</t>
  </si>
  <si>
    <t>BUS</t>
  </si>
  <si>
    <t>715.5 kcmil AAC-Interior rating</t>
  </si>
  <si>
    <t>SN (N)</t>
  </si>
  <si>
    <t>SE (A)</t>
  </si>
  <si>
    <t>WN (B)</t>
  </si>
  <si>
    <t>WE (C)</t>
  </si>
  <si>
    <t>GAD 346000 Rev 14; BOM 043676 Rev 8 Sheet 8, Item 39; Verified per Pro-E AID 1370</t>
  </si>
  <si>
    <t>CB</t>
  </si>
  <si>
    <t>SLD 329648 Rev 13; Verified per Pro-E AID 1371</t>
  </si>
  <si>
    <t>SLD 329648 Rev 13; Verified per Pro-E AID 1373</t>
  </si>
  <si>
    <t>Create</t>
  </si>
  <si>
    <t>CB 1012</t>
  </si>
  <si>
    <t>CT</t>
  </si>
  <si>
    <t>400/5*2 TRF = 800A; Manufactured 2007</t>
  </si>
  <si>
    <t>Verified in Powerbase by RQHG</t>
  </si>
  <si>
    <t>Update</t>
  </si>
  <si>
    <t>CB 1032</t>
  </si>
  <si>
    <t>800/5*1 TRF = 800A; Installed 1995</t>
  </si>
  <si>
    <t>DISC</t>
  </si>
  <si>
    <t>Previously Submitted on Humboldt-Trinity 115 kV on 3/16/2021; Verified per Pro-E AID 1374</t>
  </si>
  <si>
    <t>Previously Submitted on Humboldt-Trinity 115 kV on 3/16/2021; Verified per Pro-E AID 1375</t>
  </si>
  <si>
    <t>Previously Submitted on Humboldt-Trinity 115 kV on 3/16/2021; Verified per Pro-E AID 1378</t>
  </si>
  <si>
    <t>Previously Submitted on Humboldt-Trinity 115 kV on 3/16/2021; Verified per Pro-E AID 1379</t>
  </si>
  <si>
    <t>Previously Submitted on Humboldt-Trinity 115 kV on 3/16/2021; Verified per Pro-E AID 1380</t>
  </si>
  <si>
    <t>TRINITY-COTTONWOOD - CB 1012 &amp; CB 1032</t>
  </si>
  <si>
    <t>WTRP</t>
  </si>
  <si>
    <t>GAD 4049362 Rev 4; BOM 043676 Rev 11 Sheet 43, Item 166</t>
  </si>
  <si>
    <t>TRINITY-COTTONWOOD - CB 1012 &amp; CB 1032 (smallest TERM cond)</t>
  </si>
  <si>
    <t>COND</t>
  </si>
  <si>
    <t>715.5 KCMIL AL - SPECIAL RATING PER 073137 - INTERIOR RATING (715.5 KCMIL AL - SPECIAL RATING PER 073137, 2-1113 KCMIL AL - SPECIAL RATING PER 073137, 3" SPS AL TUBING)</t>
  </si>
  <si>
    <t>GAD 4049362 Rev 4; BOM 043676 Rev 11 Sheet 46, Item 184; Compression Fitting: BOM 043676 Rev 11 Sheet 48, Item 190</t>
  </si>
  <si>
    <t>TERM</t>
  </si>
  <si>
    <t>11. Limited by multiple components</t>
  </si>
  <si>
    <t>TRINITY-COTTONWOOD - From Trinity To 004/037</t>
  </si>
  <si>
    <t>TLS</t>
  </si>
  <si>
    <t>Retire</t>
  </si>
  <si>
    <t>CONDUCTOR INFO: 336.4 - 30/7 - ACSR - SINGLE - INTERIOR</t>
  </si>
  <si>
    <t>TRINITY-COTTONWOOD - From Trinity To 045/301B</t>
  </si>
  <si>
    <t>715.0-37 - AAC - SINGLE - INTERIOR RATING</t>
  </si>
  <si>
    <t>TRINITY-COTTONWOOD - From 045/301B To 042/278B</t>
  </si>
  <si>
    <t>397.5-26/7 - ACSR - SINGLE - INTERIOR RATING</t>
  </si>
  <si>
    <t>TRINITY-COTTONWOOD - From 042/278B To 042/277B</t>
  </si>
  <si>
    <t>336.4-30/7 - ACSR - SINGLE - INTERIOR RATING</t>
  </si>
  <si>
    <t>TRINITY-COTTONWOOD - From 042/277B To 039/255B</t>
  </si>
  <si>
    <t>TRINITY-COTTONWOOD - From 039/255B To 039/254B</t>
  </si>
  <si>
    <t>TRINITY-COTTONWOOD - From 039/254B To 036/242B</t>
  </si>
  <si>
    <t>CONDUCTOR INFO: 336.4 - 12/7 - ACAR - SINGLE - INTERIOR</t>
  </si>
  <si>
    <t>TRINITY-COTTONWOOD - From 036/242B To 032/221B</t>
  </si>
  <si>
    <t>CONDUCTOR INFO: 397.5 - 26/7 - ACSR - SINGLE - INTERIOR</t>
  </si>
  <si>
    <t>TRINITY-COTTONWOOD - From 032/221B To 022/163</t>
  </si>
  <si>
    <t>TRINITY-COTTONWOOD - From 022/163 To 020/147</t>
  </si>
  <si>
    <t>TRINITY-COTTONWOOD - From 020/147 To 020/146B</t>
  </si>
  <si>
    <t>TRINITY-COTTONWOOD - From 020/146B To 015/117</t>
  </si>
  <si>
    <t>336.4-12/7 - ACAR - SINGLE - INTERIOR RATING</t>
  </si>
  <si>
    <t>TRINITY-COTTONWOOD - From 015/117 To 004/037</t>
  </si>
  <si>
    <t>Switch 107 located at 012/096A</t>
  </si>
  <si>
    <t>Switch 119 located at 041/268</t>
  </si>
  <si>
    <t>TRINITY-COTTONWOOD - From Trinity To 004/037 - Switch 329</t>
  </si>
  <si>
    <t>Switch 329 located at 004/038</t>
  </si>
  <si>
    <t>TRINITY-COTTONWOOD - From 004/037 To Cottonwood</t>
  </si>
  <si>
    <t>27. Limited by Wave Trap rating</t>
  </si>
  <si>
    <t>TRINITY-COTTONWOOD - From 004/037 To Cottonwood - Switch 327</t>
  </si>
  <si>
    <t>Switch 327 located at 004/036</t>
  </si>
  <si>
    <t>COTTONWOOD</t>
  </si>
  <si>
    <t>115 kV BUS 1</t>
  </si>
  <si>
    <t>2" IPS CU - INTERIOR RATING (2" IPS CU, 2-2300 KCMIL AL, 4" AL Tube - SCH 80)</t>
  </si>
  <si>
    <t xml:space="preserve">115 kV BUS 2 </t>
  </si>
  <si>
    <t>GAD 402523 Rev 23; BOM 023910 Rev 15 Sheet 31, Item 130</t>
  </si>
  <si>
    <t>CB 132</t>
  </si>
  <si>
    <t>1000/5*2 TRF = 2000A; Installed 2002</t>
  </si>
  <si>
    <t>GAD 402523 Rev 23; BOM 023910 Rev 21 Sheet 60, Item 282</t>
  </si>
  <si>
    <t>GAD 402523 Rev 23; BOM 023910 Rev 21 Sheet 60, Item 283</t>
  </si>
  <si>
    <t>GAD 402523 Rev 23; BOM 023910 Rev 21 Sheet 60, Item 284</t>
  </si>
  <si>
    <t>SLD 55229 Rev 79; Verified by SAP Database ARSW Dec 2022, 40976135</t>
  </si>
  <si>
    <t>SLD 55229 Rev 79; Verified by SAP Database ARSW Dec 2022, 40976141</t>
  </si>
  <si>
    <t>TRINITY-COTTONWOOD - CB 132</t>
  </si>
  <si>
    <t>GAD 322539 Rev 7; BOM 034442 Rev 10 Sheet 1A, Item 3</t>
  </si>
  <si>
    <t>TRINITY-COTTONWOOD - CB 132 (smallest TERM cond)</t>
  </si>
  <si>
    <t>SN/WN 3/4" IPS CU; SE/WE 715 KCMIL AL - SPECIAL RATING PER 073137 - INTERIOR RATINGS (3/4" IPS CU, 715 KCMIL AL - SPECIAL RATING PER 073137, 1113 KCMIL AL - SPECIAL RATING PER 073137)</t>
  </si>
  <si>
    <t>GAD 322539 Rev 7; GAD 402523 Rev 23; For 715 KCMIL AL Compression Fittings: BOM 034442 Rev 11 Sheet 14, Item 62</t>
  </si>
  <si>
    <t>Required Updates</t>
  </si>
  <si>
    <t>Celerity Analysis Comments</t>
  </si>
  <si>
    <t xml:space="preserve"> </t>
  </si>
  <si>
    <t>Previously Submitted on Cascade-Cottonwood on 11/17/2019; GAD 4035234 Rev 4; BOM 027258 Rev 26 Sheet 72, Item 278</t>
  </si>
  <si>
    <t>Find line current based on 
Line to Line kV and 3 phase MVA</t>
  </si>
  <si>
    <t>Find line MVA based on Line to Line kV and line current</t>
  </si>
  <si>
    <t>Find Line to Neutral kV based on Line to Line kV</t>
  </si>
  <si>
    <r>
      <t>kV</t>
    </r>
    <r>
      <rPr>
        <vertAlign val="subscript"/>
        <sz val="11"/>
        <color theme="1"/>
        <rFont val="Calibri"/>
        <family val="2"/>
        <scheme val="minor"/>
      </rPr>
      <t>LL</t>
    </r>
  </si>
  <si>
    <t>Rated MVA</t>
  </si>
  <si>
    <t>I</t>
  </si>
  <si>
    <r>
      <t>kV</t>
    </r>
    <r>
      <rPr>
        <vertAlign val="subscript"/>
        <sz val="11"/>
        <color theme="1"/>
        <rFont val="Calibri"/>
        <family val="2"/>
        <scheme val="minor"/>
      </rPr>
      <t>LN</t>
    </r>
  </si>
  <si>
    <t>MVA</t>
  </si>
  <si>
    <t>SUB1-SUB2 - CB 1012 &amp; CB 1032</t>
  </si>
  <si>
    <t>SUB1-SUB2 - CB 1012 &amp; CB 1032 (smallest TERM cond)</t>
  </si>
  <si>
    <t>SUB1-SUB2 - From Sub1 To 004/037</t>
  </si>
  <si>
    <t>SUB1-SUB2 - From Sub1 To 039/254B</t>
  </si>
  <si>
    <t>SUB1-SUB2 - From Sub1 To 045/301B</t>
  </si>
  <si>
    <t>SUB1-SUB2 - From 045/301B To 042/278B</t>
  </si>
  <si>
    <t>SUB1-SUB2 - From 042/278B To 042/277B</t>
  </si>
  <si>
    <t>SUB1-SUB2 - From 042/277B To 039/255B</t>
  </si>
  <si>
    <t>SUB1-SUB2 - From 039/255B To 039/254B</t>
  </si>
  <si>
    <t>SUB1-SUB2 - From 039/254B To 036/242B</t>
  </si>
  <si>
    <t>SUB1-SUB2 - From 036/242B To 032/221B</t>
  </si>
  <si>
    <t>SUB1-SUB2 - From 032/221B To 022/163</t>
  </si>
  <si>
    <t>SUB1-SUB2 - From 022/163 To 020/147</t>
  </si>
  <si>
    <t>SUB1-SUB2 - From 020/147 To 020/146B</t>
  </si>
  <si>
    <t>SUB1-SUB2 - From 020/146B To 015/117</t>
  </si>
  <si>
    <t>SUB1-SUB2 - From 015/117 To 004/037</t>
  </si>
  <si>
    <t>SUB1-SUB2 - CB 132</t>
  </si>
  <si>
    <t>SUB1-SUB2 - CB 132 (smallest TERM cond)</t>
  </si>
  <si>
    <t>SUB1</t>
  </si>
  <si>
    <t>SUB1-SUB2 - From SUB1 To 004/037 - Switch 107</t>
  </si>
  <si>
    <t>SUB1-SUB2 - From  SUB1 Sub To 4/7 - #117</t>
  </si>
  <si>
    <t>SUB1-SUB2 - From SUB1 To 004/037 - Switch 119</t>
  </si>
  <si>
    <t>SUB1-SUB2 - From SUB1 To 004/037 - Switch 329</t>
  </si>
  <si>
    <t>SUB1-SUB2 - From 004/037 To SUB2</t>
  </si>
  <si>
    <t>SUB1-SUB2 - From 004/037 To SUB2 - Switch 327</t>
  </si>
  <si>
    <t>SUB2</t>
  </si>
  <si>
    <t>SUB1-SUB2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</si>
</sst>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164" fontId="1" fillId="0" borderId="0" xfId="0" applyNumberFormat="1" applyFont="1"/>
    <xf numFmtId="0" fontId="0" fillId="0" borderId="0" xfId="0" applyAlignment="1">
      <alignment horizontal="right"/>
    </xf>
    <xf numFmtId="1" fontId="1" fillId="0" borderId="0" xfId="0" applyNumberFormat="1" applyFont="1"/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0" xfId="0" applyFont="1"/>
    <xf numFmtId="0" fontId="0" fillId="0" borderId="2" xfId="0" applyBorder="1"/>
    <xf numFmtId="0" fontId="0" fillId="2" borderId="3" xfId="0" applyFill="1" applyBorder="1"/>
    <xf numFmtId="0" fontId="0" fillId="3" borderId="3" xfId="0" applyFill="1" applyBorder="1"/>
    <xf numFmtId="0" fontId="0" fillId="4" borderId="3" xfId="0" applyFill="1" applyBorder="1"/>
    <xf numFmtId="0" fontId="0" fillId="6" borderId="3" xfId="0" applyFill="1" applyBorder="1"/>
    <xf numFmtId="0" fontId="3" fillId="5" borderId="3" xfId="0" applyFont="1" applyFill="1" applyBorder="1"/>
    <xf numFmtId="0" fontId="0" fillId="0" borderId="4" xfId="0" applyBorder="1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right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3" fillId="4" borderId="1" xfId="0" applyFont="1" applyFill="1" applyBorder="1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132"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strike val="0"/>
        <color rgb="FFFF0000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strike val="0"/>
        <color rgb="FFFF0000"/>
      </font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strike val="0"/>
        <color rgb="FFFF0000"/>
      </font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strike val="0"/>
        <color rgb="FFFF0000"/>
      </font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strike val="0"/>
        <color rgb="FFFF0000"/>
      </font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FF0000"/>
      </font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strike val="0"/>
        <color rgb="FFFF0000"/>
      </font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FF0000"/>
      </font>
    </dxf>
    <dxf>
      <font>
        <strike val="0"/>
        <color rgb="FFFF0000"/>
      </font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strike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FF0000"/>
      </font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strike val="0"/>
        <color rgb="FFFF0000"/>
      </font>
    </dxf>
    <dxf>
      <fill>
        <patternFill>
          <bgColor rgb="FF00B050"/>
        </patternFill>
      </fill>
    </dxf>
    <dxf>
      <font>
        <strike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strike val="0"/>
        <color rgb="FFFF0000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strike val="0"/>
        <color rgb="FFFF0000"/>
      </font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FF0000"/>
      </font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A0F9A-5F1D-4DE5-81AB-6B09520D6B05}">
  <dimension ref="B3:G14"/>
  <sheetViews>
    <sheetView workbookViewId="0">
      <selection activeCell="D5" sqref="D5"/>
    </sheetView>
  </sheetViews>
  <sheetFormatPr defaultRowHeight="15" x14ac:dyDescent="0.25"/>
  <cols>
    <col min="3" max="3" width="24.42578125" customWidth="1"/>
  </cols>
  <sheetData>
    <row r="3" spans="2:7" x14ac:dyDescent="0.25">
      <c r="B3" t="s">
        <v>0</v>
      </c>
      <c r="D3" t="s">
        <v>1</v>
      </c>
      <c r="E3" t="s">
        <v>2</v>
      </c>
      <c r="F3" t="s">
        <v>3</v>
      </c>
      <c r="G3" t="s">
        <v>4</v>
      </c>
    </row>
    <row r="4" spans="2:7" x14ac:dyDescent="0.25">
      <c r="B4" t="s">
        <v>5</v>
      </c>
    </row>
    <row r="5" spans="2:7" x14ac:dyDescent="0.25">
      <c r="C5" t="s">
        <v>6</v>
      </c>
      <c r="D5" t="e">
        <f>_xlfn.MINIFS('CAISO Update'!O2:O48,'CAISO Update'!#REF!,"x")</f>
        <v>#REF!</v>
      </c>
    </row>
    <row r="6" spans="2:7" x14ac:dyDescent="0.25">
      <c r="C6" t="s">
        <v>7</v>
      </c>
      <c r="D6" t="e">
        <f>INDEX('CAISO Update'!D2:D48,MATCH(_xlfn.MINIFS('CAISO Update'!O2:O48,'CAISO Update'!#REF!,"x"),'CAISO Update'!O2:O48,0))</f>
        <v>#REF!</v>
      </c>
    </row>
    <row r="8" spans="2:7" x14ac:dyDescent="0.25">
      <c r="C8" t="s">
        <v>8</v>
      </c>
    </row>
    <row r="11" spans="2:7" x14ac:dyDescent="0.25">
      <c r="B11" t="s">
        <v>0</v>
      </c>
      <c r="D11" t="s">
        <v>1</v>
      </c>
      <c r="E11" t="s">
        <v>2</v>
      </c>
      <c r="F11" t="s">
        <v>3</v>
      </c>
      <c r="G11" t="s">
        <v>4</v>
      </c>
    </row>
    <row r="12" spans="2:7" x14ac:dyDescent="0.25">
      <c r="B12" t="s">
        <v>9</v>
      </c>
    </row>
    <row r="13" spans="2:7" x14ac:dyDescent="0.25">
      <c r="C13" t="s">
        <v>6</v>
      </c>
    </row>
    <row r="14" spans="2:7" x14ac:dyDescent="0.25">
      <c r="C1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FFA1A-D477-4962-826C-C6AAB34907EC}">
  <sheetPr codeName="Sheet1">
    <pageSetUpPr fitToPage="1"/>
  </sheetPr>
  <dimension ref="A1:CG58"/>
  <sheetViews>
    <sheetView tabSelected="1" zoomScale="90" zoomScaleNormal="90" workbookViewId="0">
      <pane xSplit="5" topLeftCell="F1" activePane="topRight" state="frozen"/>
      <selection pane="topRight" activeCell="AM13" sqref="AM13"/>
    </sheetView>
  </sheetViews>
  <sheetFormatPr defaultColWidth="8.85546875" defaultRowHeight="15" x14ac:dyDescent="0.25"/>
  <cols>
    <col min="1" max="2" width="7.7109375" customWidth="1"/>
    <col min="3" max="3" width="20.7109375" customWidth="1"/>
    <col min="4" max="4" width="69.7109375" customWidth="1"/>
    <col min="5" max="11" width="6.7109375" customWidth="1"/>
    <col min="12" max="12" width="65.7109375" customWidth="1"/>
    <col min="13" max="13" width="7.7109375" customWidth="1"/>
    <col min="14" max="14" width="7.7109375" style="2" customWidth="1"/>
    <col min="15" max="18" width="7.7109375" style="16" customWidth="1"/>
    <col min="19" max="19" width="7.7109375" style="2" customWidth="1"/>
    <col min="20" max="23" width="7.7109375" style="16" customWidth="1"/>
    <col min="24" max="24" width="7.7109375" style="2" customWidth="1"/>
    <col min="25" max="28" width="7.7109375" style="16" customWidth="1"/>
    <col min="29" max="29" width="7.7109375" style="2" customWidth="1"/>
    <col min="30" max="33" width="7.7109375" style="16" customWidth="1"/>
  </cols>
  <sheetData>
    <row r="1" spans="1:33" s="23" customFormat="1" x14ac:dyDescent="0.25">
      <c r="A1" s="21" t="s">
        <v>10</v>
      </c>
      <c r="B1" s="21" t="s">
        <v>11</v>
      </c>
      <c r="C1" s="21" t="s">
        <v>12</v>
      </c>
      <c r="D1" s="21" t="s">
        <v>13</v>
      </c>
      <c r="E1" s="21" t="s">
        <v>14</v>
      </c>
      <c r="F1" s="21" t="s">
        <v>15</v>
      </c>
      <c r="G1" s="21" t="s">
        <v>16</v>
      </c>
      <c r="H1" s="21" t="s">
        <v>17</v>
      </c>
      <c r="I1" s="21" t="s">
        <v>18</v>
      </c>
      <c r="J1" s="21" t="s">
        <v>19</v>
      </c>
      <c r="K1" s="21" t="s">
        <v>20</v>
      </c>
      <c r="L1" s="21" t="s">
        <v>21</v>
      </c>
      <c r="M1" s="21" t="s">
        <v>22</v>
      </c>
      <c r="N1" s="22" t="s">
        <v>23</v>
      </c>
      <c r="O1" s="21" t="s">
        <v>24</v>
      </c>
      <c r="P1" s="21" t="s">
        <v>25</v>
      </c>
      <c r="Q1" s="21" t="s">
        <v>26</v>
      </c>
      <c r="R1" s="21" t="s">
        <v>27</v>
      </c>
      <c r="S1" s="22" t="s">
        <v>23</v>
      </c>
      <c r="T1" s="21" t="s">
        <v>24</v>
      </c>
      <c r="U1" s="21" t="s">
        <v>25</v>
      </c>
      <c r="V1" s="21" t="s">
        <v>26</v>
      </c>
      <c r="W1" s="21" t="s">
        <v>27</v>
      </c>
      <c r="X1" s="22" t="s">
        <v>23</v>
      </c>
      <c r="Y1" s="21" t="s">
        <v>24</v>
      </c>
      <c r="Z1" s="21" t="s">
        <v>25</v>
      </c>
      <c r="AA1" s="21" t="s">
        <v>26</v>
      </c>
      <c r="AB1" s="21" t="s">
        <v>27</v>
      </c>
      <c r="AC1" s="22" t="s">
        <v>23</v>
      </c>
      <c r="AD1" s="21" t="s">
        <v>24</v>
      </c>
      <c r="AE1" s="21" t="s">
        <v>25</v>
      </c>
      <c r="AF1" s="21" t="s">
        <v>26</v>
      </c>
      <c r="AG1" s="21" t="s">
        <v>27</v>
      </c>
    </row>
    <row r="2" spans="1:33" s="8" customFormat="1" x14ac:dyDescent="0.25">
      <c r="A2" s="7"/>
      <c r="B2" s="5">
        <v>99221</v>
      </c>
      <c r="C2" s="5" t="s">
        <v>28</v>
      </c>
      <c r="D2" s="6" t="s">
        <v>154</v>
      </c>
      <c r="E2" s="7" t="s">
        <v>30</v>
      </c>
      <c r="F2" s="7">
        <v>115</v>
      </c>
      <c r="G2" s="7"/>
      <c r="H2" s="7"/>
      <c r="I2" s="7"/>
      <c r="J2" s="7" t="s">
        <v>31</v>
      </c>
      <c r="K2" s="7" t="s">
        <v>32</v>
      </c>
      <c r="L2" s="7"/>
      <c r="M2" s="7"/>
      <c r="N2" s="17"/>
      <c r="O2" s="6"/>
      <c r="P2" s="6"/>
      <c r="Q2" s="6"/>
      <c r="R2" s="6"/>
      <c r="S2" s="17"/>
      <c r="T2" s="6"/>
      <c r="U2" s="6"/>
      <c r="V2" s="6"/>
      <c r="W2" s="6"/>
      <c r="X2" s="17"/>
      <c r="Y2" s="6"/>
      <c r="Z2" s="6"/>
      <c r="AA2" s="6"/>
      <c r="AB2" s="6"/>
      <c r="AC2" s="17"/>
      <c r="AD2" s="6"/>
      <c r="AE2" s="6"/>
      <c r="AF2" s="6"/>
      <c r="AG2" s="6"/>
    </row>
    <row r="3" spans="1:33" s="8" customFormat="1" x14ac:dyDescent="0.25">
      <c r="A3" s="7" t="s">
        <v>33</v>
      </c>
      <c r="B3" s="5"/>
      <c r="C3" s="5" t="s">
        <v>146</v>
      </c>
      <c r="D3" s="6" t="s">
        <v>35</v>
      </c>
      <c r="E3" s="7" t="s">
        <v>36</v>
      </c>
      <c r="F3" s="7">
        <v>115</v>
      </c>
      <c r="G3" s="7"/>
      <c r="H3" s="7"/>
      <c r="I3" s="7"/>
      <c r="J3" s="7" t="s">
        <v>31</v>
      </c>
      <c r="K3" s="7" t="s">
        <v>32</v>
      </c>
      <c r="L3" s="7" t="s">
        <v>37</v>
      </c>
      <c r="M3" s="7"/>
      <c r="N3" s="17" t="s">
        <v>38</v>
      </c>
      <c r="O3" s="6">
        <v>631</v>
      </c>
      <c r="P3" s="6"/>
      <c r="Q3" s="6">
        <v>0</v>
      </c>
      <c r="R3" s="6"/>
      <c r="S3" s="17" t="s">
        <v>39</v>
      </c>
      <c r="T3" s="6">
        <v>742</v>
      </c>
      <c r="U3" s="6"/>
      <c r="V3" s="6">
        <v>4</v>
      </c>
      <c r="W3" s="6"/>
      <c r="X3" s="17" t="s">
        <v>40</v>
      </c>
      <c r="Y3" s="6">
        <v>972</v>
      </c>
      <c r="Z3" s="6"/>
      <c r="AA3" s="6">
        <v>0</v>
      </c>
      <c r="AB3" s="6"/>
      <c r="AC3" s="17" t="s">
        <v>41</v>
      </c>
      <c r="AD3" s="6">
        <v>1039</v>
      </c>
      <c r="AE3" s="6"/>
      <c r="AF3" s="6">
        <v>4</v>
      </c>
      <c r="AG3" s="6"/>
    </row>
    <row r="4" spans="1:33" s="8" customFormat="1" x14ac:dyDescent="0.25">
      <c r="A4" s="7" t="s">
        <v>33</v>
      </c>
      <c r="B4" s="5">
        <v>163127</v>
      </c>
      <c r="C4" s="5" t="s">
        <v>146</v>
      </c>
      <c r="D4" s="6">
        <v>1012</v>
      </c>
      <c r="E4" s="7" t="s">
        <v>43</v>
      </c>
      <c r="F4" s="7">
        <v>115</v>
      </c>
      <c r="G4" s="7"/>
      <c r="H4" s="7"/>
      <c r="I4" s="7"/>
      <c r="J4" s="7" t="s">
        <v>31</v>
      </c>
      <c r="K4" s="7" t="s">
        <v>32</v>
      </c>
      <c r="L4" s="7"/>
      <c r="M4" s="7"/>
      <c r="N4" s="17" t="s">
        <v>38</v>
      </c>
      <c r="O4" s="6">
        <v>2000</v>
      </c>
      <c r="P4" s="6"/>
      <c r="Q4" s="6">
        <v>0</v>
      </c>
      <c r="R4" s="6"/>
      <c r="S4" s="17" t="s">
        <v>39</v>
      </c>
      <c r="T4" s="6">
        <v>2000</v>
      </c>
      <c r="U4" s="6"/>
      <c r="V4" s="6">
        <v>4</v>
      </c>
      <c r="W4" s="6"/>
      <c r="X4" s="17" t="s">
        <v>40</v>
      </c>
      <c r="Y4" s="6">
        <v>2000</v>
      </c>
      <c r="Z4" s="6"/>
      <c r="AA4" s="6">
        <v>0</v>
      </c>
      <c r="AB4" s="6"/>
      <c r="AC4" s="17" t="s">
        <v>41</v>
      </c>
      <c r="AD4" s="6">
        <v>2000</v>
      </c>
      <c r="AE4" s="6"/>
      <c r="AF4" s="6">
        <v>4</v>
      </c>
      <c r="AG4" s="6"/>
    </row>
    <row r="5" spans="1:33" s="8" customFormat="1" x14ac:dyDescent="0.25">
      <c r="A5" s="7" t="s">
        <v>33</v>
      </c>
      <c r="B5" s="5">
        <v>163114</v>
      </c>
      <c r="C5" s="5" t="s">
        <v>146</v>
      </c>
      <c r="D5" s="6">
        <v>1032</v>
      </c>
      <c r="E5" s="7" t="s">
        <v>43</v>
      </c>
      <c r="F5" s="7">
        <v>115</v>
      </c>
      <c r="G5" s="7"/>
      <c r="H5" s="7"/>
      <c r="I5" s="7"/>
      <c r="J5" s="7" t="s">
        <v>31</v>
      </c>
      <c r="K5" s="7" t="s">
        <v>32</v>
      </c>
      <c r="L5" s="7"/>
      <c r="M5" s="7"/>
      <c r="N5" s="17" t="s">
        <v>38</v>
      </c>
      <c r="O5" s="6">
        <v>1200</v>
      </c>
      <c r="P5" s="6"/>
      <c r="Q5" s="6">
        <v>0</v>
      </c>
      <c r="R5" s="6"/>
      <c r="S5" s="17" t="s">
        <v>39</v>
      </c>
      <c r="T5" s="6">
        <v>1200</v>
      </c>
      <c r="U5" s="6"/>
      <c r="V5" s="6">
        <v>4</v>
      </c>
      <c r="W5" s="6"/>
      <c r="X5" s="17" t="s">
        <v>40</v>
      </c>
      <c r="Y5" s="6">
        <v>1200</v>
      </c>
      <c r="Z5" s="6"/>
      <c r="AA5" s="6">
        <v>0</v>
      </c>
      <c r="AB5" s="6"/>
      <c r="AC5" s="17" t="s">
        <v>41</v>
      </c>
      <c r="AD5" s="6">
        <v>1200</v>
      </c>
      <c r="AE5" s="6"/>
      <c r="AF5" s="6">
        <v>4</v>
      </c>
      <c r="AG5" s="6"/>
    </row>
    <row r="6" spans="1:33" s="8" customFormat="1" x14ac:dyDescent="0.25">
      <c r="A6" s="7" t="s">
        <v>46</v>
      </c>
      <c r="B6" s="5"/>
      <c r="C6" s="5" t="s">
        <v>146</v>
      </c>
      <c r="D6" s="6" t="s">
        <v>47</v>
      </c>
      <c r="E6" s="7" t="s">
        <v>48</v>
      </c>
      <c r="F6" s="7">
        <v>115</v>
      </c>
      <c r="G6" s="7"/>
      <c r="H6" s="7"/>
      <c r="I6" s="7"/>
      <c r="J6" s="7" t="s">
        <v>31</v>
      </c>
      <c r="K6" s="7" t="s">
        <v>32</v>
      </c>
      <c r="L6" s="7" t="s">
        <v>49</v>
      </c>
      <c r="M6" s="7"/>
      <c r="N6" s="17" t="s">
        <v>38</v>
      </c>
      <c r="O6" s="6">
        <v>800</v>
      </c>
      <c r="P6" s="6"/>
      <c r="Q6" s="6">
        <v>0</v>
      </c>
      <c r="R6" s="6"/>
      <c r="S6" s="17" t="s">
        <v>39</v>
      </c>
      <c r="T6" s="6">
        <v>800</v>
      </c>
      <c r="U6" s="6"/>
      <c r="V6" s="6">
        <v>4</v>
      </c>
      <c r="W6" s="6"/>
      <c r="X6" s="17" t="s">
        <v>40</v>
      </c>
      <c r="Y6" s="6">
        <v>800</v>
      </c>
      <c r="Z6" s="6"/>
      <c r="AA6" s="6">
        <v>0</v>
      </c>
      <c r="AB6" s="6"/>
      <c r="AC6" s="17" t="s">
        <v>41</v>
      </c>
      <c r="AD6" s="6">
        <v>800</v>
      </c>
      <c r="AE6" s="6"/>
      <c r="AF6" s="6">
        <v>4</v>
      </c>
      <c r="AG6" s="6"/>
    </row>
    <row r="7" spans="1:33" s="8" customFormat="1" x14ac:dyDescent="0.25">
      <c r="A7" s="7" t="s">
        <v>51</v>
      </c>
      <c r="B7" s="5">
        <v>163115</v>
      </c>
      <c r="C7" s="5" t="s">
        <v>146</v>
      </c>
      <c r="D7" s="6" t="s">
        <v>52</v>
      </c>
      <c r="E7" s="7" t="s">
        <v>48</v>
      </c>
      <c r="F7" s="7">
        <v>115</v>
      </c>
      <c r="G7" s="7"/>
      <c r="H7" s="7"/>
      <c r="I7" s="7"/>
      <c r="J7" s="7" t="s">
        <v>31</v>
      </c>
      <c r="K7" s="7" t="s">
        <v>32</v>
      </c>
      <c r="L7" s="7" t="s">
        <v>53</v>
      </c>
      <c r="M7" s="7"/>
      <c r="N7" s="17" t="s">
        <v>38</v>
      </c>
      <c r="O7" s="6">
        <v>800</v>
      </c>
      <c r="P7" s="6"/>
      <c r="Q7" s="6">
        <v>0</v>
      </c>
      <c r="R7" s="6"/>
      <c r="S7" s="17" t="s">
        <v>39</v>
      </c>
      <c r="T7" s="6">
        <v>800</v>
      </c>
      <c r="U7" s="6"/>
      <c r="V7" s="6">
        <v>4</v>
      </c>
      <c r="W7" s="6"/>
      <c r="X7" s="17" t="s">
        <v>40</v>
      </c>
      <c r="Y7" s="6">
        <v>800</v>
      </c>
      <c r="Z7" s="6"/>
      <c r="AA7" s="6">
        <v>0</v>
      </c>
      <c r="AB7" s="6"/>
      <c r="AC7" s="17" t="s">
        <v>41</v>
      </c>
      <c r="AD7" s="6">
        <v>800</v>
      </c>
      <c r="AE7" s="6"/>
      <c r="AF7" s="6">
        <v>4</v>
      </c>
      <c r="AG7" s="6"/>
    </row>
    <row r="8" spans="1:33" s="8" customFormat="1" x14ac:dyDescent="0.25">
      <c r="A8" s="7" t="s">
        <v>33</v>
      </c>
      <c r="B8" s="5">
        <v>163125</v>
      </c>
      <c r="C8" s="5" t="s">
        <v>146</v>
      </c>
      <c r="D8" s="6">
        <v>1011</v>
      </c>
      <c r="E8" s="7" t="s">
        <v>54</v>
      </c>
      <c r="F8" s="7">
        <v>115</v>
      </c>
      <c r="G8" s="7"/>
      <c r="H8" s="7"/>
      <c r="I8" s="7"/>
      <c r="J8" s="7" t="s">
        <v>31</v>
      </c>
      <c r="K8" s="7" t="s">
        <v>32</v>
      </c>
      <c r="L8" s="7"/>
      <c r="M8" s="7"/>
      <c r="N8" s="17" t="s">
        <v>38</v>
      </c>
      <c r="O8" s="6">
        <v>2000</v>
      </c>
      <c r="P8" s="6"/>
      <c r="Q8" s="6">
        <v>0</v>
      </c>
      <c r="R8" s="6"/>
      <c r="S8" s="17" t="s">
        <v>39</v>
      </c>
      <c r="T8" s="6">
        <v>2000</v>
      </c>
      <c r="U8" s="6"/>
      <c r="V8" s="6">
        <v>4</v>
      </c>
      <c r="W8" s="6"/>
      <c r="X8" s="17" t="s">
        <v>40</v>
      </c>
      <c r="Y8" s="6">
        <v>2000</v>
      </c>
      <c r="Z8" s="6"/>
      <c r="AA8" s="6">
        <v>0</v>
      </c>
      <c r="AB8" s="6"/>
      <c r="AC8" s="17" t="s">
        <v>41</v>
      </c>
      <c r="AD8" s="6">
        <v>2000</v>
      </c>
      <c r="AE8" s="6"/>
      <c r="AF8" s="6">
        <v>4</v>
      </c>
      <c r="AG8" s="6"/>
    </row>
    <row r="9" spans="1:33" s="8" customFormat="1" x14ac:dyDescent="0.25">
      <c r="A9" s="7" t="s">
        <v>33</v>
      </c>
      <c r="B9" s="5">
        <v>163126</v>
      </c>
      <c r="C9" s="5" t="s">
        <v>146</v>
      </c>
      <c r="D9" s="6">
        <v>1013</v>
      </c>
      <c r="E9" s="7" t="s">
        <v>54</v>
      </c>
      <c r="F9" s="7">
        <v>115</v>
      </c>
      <c r="G9" s="7"/>
      <c r="H9" s="7"/>
      <c r="I9" s="7"/>
      <c r="J9" s="7" t="s">
        <v>31</v>
      </c>
      <c r="K9" s="7" t="s">
        <v>32</v>
      </c>
      <c r="L9" s="7"/>
      <c r="M9" s="7"/>
      <c r="N9" s="17" t="s">
        <v>38</v>
      </c>
      <c r="O9" s="6">
        <v>2000</v>
      </c>
      <c r="P9" s="6"/>
      <c r="Q9" s="6">
        <v>0</v>
      </c>
      <c r="R9" s="6"/>
      <c r="S9" s="17" t="s">
        <v>39</v>
      </c>
      <c r="T9" s="6">
        <v>2000</v>
      </c>
      <c r="U9" s="6"/>
      <c r="V9" s="6">
        <v>4</v>
      </c>
      <c r="W9" s="6"/>
      <c r="X9" s="17" t="s">
        <v>40</v>
      </c>
      <c r="Y9" s="6">
        <v>2000</v>
      </c>
      <c r="Z9" s="6"/>
      <c r="AA9" s="6">
        <v>0</v>
      </c>
      <c r="AB9" s="6"/>
      <c r="AC9" s="17" t="s">
        <v>41</v>
      </c>
      <c r="AD9" s="6">
        <v>2000</v>
      </c>
      <c r="AE9" s="6"/>
      <c r="AF9" s="6">
        <v>4</v>
      </c>
      <c r="AG9" s="6"/>
    </row>
    <row r="10" spans="1:33" s="8" customFormat="1" x14ac:dyDescent="0.25">
      <c r="A10" s="7" t="s">
        <v>33</v>
      </c>
      <c r="B10" s="5">
        <v>163113</v>
      </c>
      <c r="C10" s="5" t="s">
        <v>146</v>
      </c>
      <c r="D10" s="6">
        <v>1031</v>
      </c>
      <c r="E10" s="7" t="s">
        <v>54</v>
      </c>
      <c r="F10" s="7">
        <v>115</v>
      </c>
      <c r="G10" s="7"/>
      <c r="H10" s="7"/>
      <c r="I10" s="7"/>
      <c r="J10" s="7" t="s">
        <v>31</v>
      </c>
      <c r="K10" s="7" t="s">
        <v>32</v>
      </c>
      <c r="L10" s="7"/>
      <c r="M10" s="7"/>
      <c r="N10" s="17" t="s">
        <v>38</v>
      </c>
      <c r="O10" s="6">
        <v>600</v>
      </c>
      <c r="P10" s="6"/>
      <c r="Q10" s="6">
        <v>0</v>
      </c>
      <c r="R10" s="6"/>
      <c r="S10" s="17" t="s">
        <v>39</v>
      </c>
      <c r="T10" s="6">
        <v>600</v>
      </c>
      <c r="U10" s="6"/>
      <c r="V10" s="6">
        <v>4</v>
      </c>
      <c r="W10" s="6"/>
      <c r="X10" s="17" t="s">
        <v>40</v>
      </c>
      <c r="Y10" s="6">
        <v>600</v>
      </c>
      <c r="Z10" s="6"/>
      <c r="AA10" s="6">
        <v>0</v>
      </c>
      <c r="AB10" s="6"/>
      <c r="AC10" s="17" t="s">
        <v>41</v>
      </c>
      <c r="AD10" s="6">
        <v>600</v>
      </c>
      <c r="AE10" s="6"/>
      <c r="AF10" s="6">
        <v>4</v>
      </c>
      <c r="AG10" s="6"/>
    </row>
    <row r="11" spans="1:33" s="8" customFormat="1" x14ac:dyDescent="0.25">
      <c r="A11" s="7" t="s">
        <v>33</v>
      </c>
      <c r="B11" s="5">
        <v>163112</v>
      </c>
      <c r="C11" s="5" t="s">
        <v>146</v>
      </c>
      <c r="D11" s="6">
        <v>1033</v>
      </c>
      <c r="E11" s="7" t="s">
        <v>54</v>
      </c>
      <c r="F11" s="7">
        <v>115</v>
      </c>
      <c r="G11" s="7"/>
      <c r="H11" s="7"/>
      <c r="I11" s="7"/>
      <c r="J11" s="7" t="s">
        <v>31</v>
      </c>
      <c r="K11" s="7" t="s">
        <v>32</v>
      </c>
      <c r="L11" s="7"/>
      <c r="M11" s="7"/>
      <c r="N11" s="17" t="s">
        <v>38</v>
      </c>
      <c r="O11" s="6">
        <v>600</v>
      </c>
      <c r="P11" s="6"/>
      <c r="Q11" s="6">
        <v>0</v>
      </c>
      <c r="R11" s="6"/>
      <c r="S11" s="17" t="s">
        <v>39</v>
      </c>
      <c r="T11" s="6">
        <v>600</v>
      </c>
      <c r="U11" s="6"/>
      <c r="V11" s="6">
        <v>4</v>
      </c>
      <c r="W11" s="6"/>
      <c r="X11" s="17" t="s">
        <v>40</v>
      </c>
      <c r="Y11" s="6">
        <v>600</v>
      </c>
      <c r="Z11" s="6"/>
      <c r="AA11" s="6">
        <v>0</v>
      </c>
      <c r="AB11" s="6"/>
      <c r="AC11" s="17" t="s">
        <v>41</v>
      </c>
      <c r="AD11" s="6">
        <v>600</v>
      </c>
      <c r="AE11" s="6"/>
      <c r="AF11" s="6">
        <v>4</v>
      </c>
      <c r="AG11" s="6"/>
    </row>
    <row r="12" spans="1:33" s="8" customFormat="1" x14ac:dyDescent="0.25">
      <c r="A12" s="7" t="s">
        <v>33</v>
      </c>
      <c r="B12" s="5">
        <v>163111</v>
      </c>
      <c r="C12" s="5" t="s">
        <v>146</v>
      </c>
      <c r="D12" s="6">
        <v>1035</v>
      </c>
      <c r="E12" s="7" t="s">
        <v>54</v>
      </c>
      <c r="F12" s="7">
        <v>115</v>
      </c>
      <c r="G12" s="7"/>
      <c r="H12" s="7"/>
      <c r="I12" s="7"/>
      <c r="J12" s="7" t="s">
        <v>31</v>
      </c>
      <c r="K12" s="7" t="s">
        <v>32</v>
      </c>
      <c r="L12" s="7"/>
      <c r="M12" s="7"/>
      <c r="N12" s="17" t="s">
        <v>38</v>
      </c>
      <c r="O12" s="6">
        <v>2000</v>
      </c>
      <c r="P12" s="6"/>
      <c r="Q12" s="6">
        <v>0</v>
      </c>
      <c r="R12" s="6"/>
      <c r="S12" s="17" t="s">
        <v>39</v>
      </c>
      <c r="T12" s="6">
        <v>2000</v>
      </c>
      <c r="U12" s="6"/>
      <c r="V12" s="6">
        <v>4</v>
      </c>
      <c r="W12" s="6"/>
      <c r="X12" s="17" t="s">
        <v>40</v>
      </c>
      <c r="Y12" s="6">
        <v>2000</v>
      </c>
      <c r="Z12" s="6"/>
      <c r="AA12" s="6">
        <v>0</v>
      </c>
      <c r="AB12" s="6"/>
      <c r="AC12" s="17" t="s">
        <v>41</v>
      </c>
      <c r="AD12" s="6">
        <v>2000</v>
      </c>
      <c r="AE12" s="6"/>
      <c r="AF12" s="6">
        <v>4</v>
      </c>
      <c r="AG12" s="6"/>
    </row>
    <row r="13" spans="1:33" s="8" customFormat="1" x14ac:dyDescent="0.25">
      <c r="A13" s="7" t="s">
        <v>51</v>
      </c>
      <c r="B13" s="5">
        <v>163109</v>
      </c>
      <c r="C13" s="5" t="s">
        <v>146</v>
      </c>
      <c r="D13" s="7" t="s">
        <v>128</v>
      </c>
      <c r="E13" s="7" t="s">
        <v>61</v>
      </c>
      <c r="F13" s="7">
        <v>115</v>
      </c>
      <c r="G13" s="7"/>
      <c r="H13" s="7"/>
      <c r="I13" s="7"/>
      <c r="J13" s="7" t="s">
        <v>31</v>
      </c>
      <c r="K13" s="7" t="s">
        <v>32</v>
      </c>
      <c r="L13" s="7"/>
      <c r="M13" s="7"/>
      <c r="N13" s="17" t="s">
        <v>38</v>
      </c>
      <c r="O13" s="6">
        <v>2000</v>
      </c>
      <c r="P13" s="6"/>
      <c r="Q13" s="6">
        <v>0</v>
      </c>
      <c r="R13" s="6"/>
      <c r="S13" s="17" t="s">
        <v>39</v>
      </c>
      <c r="T13" s="6">
        <v>2000</v>
      </c>
      <c r="U13" s="6"/>
      <c r="V13" s="6">
        <v>4</v>
      </c>
      <c r="W13" s="6"/>
      <c r="X13" s="17" t="s">
        <v>40</v>
      </c>
      <c r="Y13" s="6">
        <v>2000</v>
      </c>
      <c r="Z13" s="6"/>
      <c r="AA13" s="6">
        <v>0</v>
      </c>
      <c r="AB13" s="6"/>
      <c r="AC13" s="17" t="s">
        <v>41</v>
      </c>
      <c r="AD13" s="6">
        <v>2000</v>
      </c>
      <c r="AE13" s="6"/>
      <c r="AF13" s="6">
        <v>4</v>
      </c>
      <c r="AG13" s="6"/>
    </row>
    <row r="14" spans="1:33" s="8" customFormat="1" x14ac:dyDescent="0.25">
      <c r="A14" s="7" t="s">
        <v>51</v>
      </c>
      <c r="B14" s="5">
        <v>163110</v>
      </c>
      <c r="C14" s="5" t="s">
        <v>146</v>
      </c>
      <c r="D14" s="7" t="s">
        <v>129</v>
      </c>
      <c r="E14" s="7" t="s">
        <v>64</v>
      </c>
      <c r="F14" s="7">
        <v>115</v>
      </c>
      <c r="G14" s="7"/>
      <c r="H14" s="7"/>
      <c r="I14" s="7"/>
      <c r="J14" s="7" t="s">
        <v>31</v>
      </c>
      <c r="K14" s="7" t="s">
        <v>32</v>
      </c>
      <c r="L14" s="7" t="s">
        <v>65</v>
      </c>
      <c r="M14" s="7"/>
      <c r="N14" s="17" t="s">
        <v>38</v>
      </c>
      <c r="O14" s="6">
        <v>742</v>
      </c>
      <c r="P14" s="6"/>
      <c r="Q14" s="6">
        <v>0</v>
      </c>
      <c r="R14" s="6"/>
      <c r="S14" s="17" t="s">
        <v>39</v>
      </c>
      <c r="T14" s="6">
        <v>835</v>
      </c>
      <c r="U14" s="6"/>
      <c r="V14" s="6">
        <v>4</v>
      </c>
      <c r="W14" s="6"/>
      <c r="X14" s="17" t="s">
        <v>40</v>
      </c>
      <c r="Y14" s="6">
        <v>1039</v>
      </c>
      <c r="Z14" s="6"/>
      <c r="AA14" s="6">
        <v>0</v>
      </c>
      <c r="AB14" s="6"/>
      <c r="AC14" s="17" t="s">
        <v>41</v>
      </c>
      <c r="AD14" s="6">
        <v>1100</v>
      </c>
      <c r="AE14" s="6"/>
      <c r="AF14" s="6">
        <v>4</v>
      </c>
      <c r="AG14" s="6"/>
    </row>
    <row r="15" spans="1:33" s="8" customFormat="1" x14ac:dyDescent="0.25">
      <c r="A15" s="7" t="s">
        <v>51</v>
      </c>
      <c r="B15" s="5">
        <v>163116</v>
      </c>
      <c r="C15" s="5" t="s">
        <v>146</v>
      </c>
      <c r="D15" s="7" t="s">
        <v>128</v>
      </c>
      <c r="E15" s="7" t="s">
        <v>67</v>
      </c>
      <c r="F15" s="7">
        <v>115</v>
      </c>
      <c r="G15" s="7"/>
      <c r="H15" s="7"/>
      <c r="I15" s="7"/>
      <c r="J15" s="7" t="s">
        <v>31</v>
      </c>
      <c r="K15" s="7" t="s">
        <v>32</v>
      </c>
      <c r="L15" s="7"/>
      <c r="M15" s="7"/>
      <c r="N15" s="17" t="s">
        <v>38</v>
      </c>
      <c r="O15" s="6">
        <v>600</v>
      </c>
      <c r="P15" s="6"/>
      <c r="Q15" s="6">
        <v>0</v>
      </c>
      <c r="R15" s="6">
        <v>11</v>
      </c>
      <c r="S15" s="17" t="s">
        <v>39</v>
      </c>
      <c r="T15" s="6">
        <v>600</v>
      </c>
      <c r="U15" s="6"/>
      <c r="V15" s="6">
        <v>4</v>
      </c>
      <c r="W15" s="6">
        <v>11</v>
      </c>
      <c r="X15" s="17" t="s">
        <v>40</v>
      </c>
      <c r="Y15" s="6">
        <v>600</v>
      </c>
      <c r="Z15" s="6"/>
      <c r="AA15" s="6">
        <v>0</v>
      </c>
      <c r="AB15" s="6">
        <v>11</v>
      </c>
      <c r="AC15" s="17" t="s">
        <v>41</v>
      </c>
      <c r="AD15" s="6">
        <v>600</v>
      </c>
      <c r="AE15" s="6"/>
      <c r="AF15" s="6">
        <v>4</v>
      </c>
      <c r="AG15" s="6">
        <v>11</v>
      </c>
    </row>
    <row r="16" spans="1:33" s="8" customFormat="1" x14ac:dyDescent="0.25">
      <c r="A16" s="7" t="s">
        <v>51</v>
      </c>
      <c r="B16" s="5">
        <v>118573</v>
      </c>
      <c r="C16" s="5" t="s">
        <v>28</v>
      </c>
      <c r="D16" s="6" t="s">
        <v>130</v>
      </c>
      <c r="E16" s="7" t="s">
        <v>70</v>
      </c>
      <c r="F16" s="7">
        <v>115</v>
      </c>
      <c r="G16" s="7"/>
      <c r="H16" s="7"/>
      <c r="I16" s="7"/>
      <c r="J16" s="7" t="s">
        <v>31</v>
      </c>
      <c r="K16" s="7" t="s">
        <v>32</v>
      </c>
      <c r="L16" s="7"/>
      <c r="M16" s="7"/>
      <c r="N16" s="17" t="s">
        <v>38</v>
      </c>
      <c r="O16" s="6">
        <v>390</v>
      </c>
      <c r="P16" s="6"/>
      <c r="Q16" s="6">
        <v>0</v>
      </c>
      <c r="R16" s="6"/>
      <c r="S16" s="17" t="s">
        <v>39</v>
      </c>
      <c r="T16" s="6">
        <v>456</v>
      </c>
      <c r="U16" s="6"/>
      <c r="V16" s="6">
        <v>4</v>
      </c>
      <c r="W16" s="6"/>
      <c r="X16" s="17" t="s">
        <v>40</v>
      </c>
      <c r="Y16" s="6">
        <v>589</v>
      </c>
      <c r="Z16" s="6"/>
      <c r="AA16" s="6">
        <v>0</v>
      </c>
      <c r="AB16" s="6"/>
      <c r="AC16" s="17" t="s">
        <v>41</v>
      </c>
      <c r="AD16" s="6">
        <v>600</v>
      </c>
      <c r="AE16" s="6"/>
      <c r="AF16" s="6">
        <v>4</v>
      </c>
      <c r="AG16" s="6">
        <v>11</v>
      </c>
    </row>
    <row r="17" spans="1:33" s="8" customFormat="1" x14ac:dyDescent="0.25">
      <c r="A17" s="7" t="s">
        <v>71</v>
      </c>
      <c r="B17" s="5">
        <v>118572</v>
      </c>
      <c r="C17" s="5" t="s">
        <v>28</v>
      </c>
      <c r="D17" s="6" t="s">
        <v>131</v>
      </c>
      <c r="E17" s="7" t="s">
        <v>64</v>
      </c>
      <c r="F17" s="7">
        <v>115</v>
      </c>
      <c r="G17" s="7"/>
      <c r="H17" s="7"/>
      <c r="I17" s="7">
        <v>6.28</v>
      </c>
      <c r="J17" s="7" t="s">
        <v>31</v>
      </c>
      <c r="K17" s="7" t="s">
        <v>32</v>
      </c>
      <c r="L17" s="7" t="s">
        <v>72</v>
      </c>
      <c r="M17" s="7"/>
      <c r="N17" s="17" t="s">
        <v>38</v>
      </c>
      <c r="O17" s="6">
        <v>449</v>
      </c>
      <c r="P17" s="6"/>
      <c r="Q17" s="6">
        <v>0</v>
      </c>
      <c r="R17" s="6"/>
      <c r="S17" s="17" t="s">
        <v>39</v>
      </c>
      <c r="T17" s="6">
        <v>512</v>
      </c>
      <c r="U17" s="6"/>
      <c r="V17" s="6">
        <v>4</v>
      </c>
      <c r="W17" s="6"/>
      <c r="X17" s="17" t="s">
        <v>40</v>
      </c>
      <c r="Y17" s="6">
        <v>647</v>
      </c>
      <c r="Z17" s="6"/>
      <c r="AA17" s="6">
        <v>0</v>
      </c>
      <c r="AB17" s="6"/>
      <c r="AC17" s="17" t="s">
        <v>41</v>
      </c>
      <c r="AD17" s="6">
        <v>687</v>
      </c>
      <c r="AE17" s="6"/>
      <c r="AF17" s="6">
        <v>4</v>
      </c>
      <c r="AG17" s="6"/>
    </row>
    <row r="18" spans="1:33" s="8" customFormat="1" x14ac:dyDescent="0.25">
      <c r="A18" s="7" t="s">
        <v>46</v>
      </c>
      <c r="B18" s="5"/>
      <c r="C18" s="5" t="s">
        <v>28</v>
      </c>
      <c r="D18" s="6" t="s">
        <v>132</v>
      </c>
      <c r="E18" s="7" t="s">
        <v>64</v>
      </c>
      <c r="F18" s="7">
        <v>115</v>
      </c>
      <c r="G18" s="7"/>
      <c r="H18" s="7"/>
      <c r="I18" s="7">
        <v>0.02</v>
      </c>
      <c r="J18" s="7" t="s">
        <v>31</v>
      </c>
      <c r="K18" s="7" t="s">
        <v>32</v>
      </c>
      <c r="L18" s="7" t="s">
        <v>74</v>
      </c>
      <c r="M18" s="7"/>
      <c r="N18" s="17" t="s">
        <v>38</v>
      </c>
      <c r="O18" s="6">
        <v>631</v>
      </c>
      <c r="P18" s="6"/>
      <c r="Q18" s="6">
        <v>0</v>
      </c>
      <c r="R18" s="6"/>
      <c r="S18" s="17" t="s">
        <v>39</v>
      </c>
      <c r="T18" s="6">
        <v>742</v>
      </c>
      <c r="U18" s="6"/>
      <c r="V18" s="6">
        <v>4</v>
      </c>
      <c r="W18" s="6"/>
      <c r="X18" s="17" t="s">
        <v>40</v>
      </c>
      <c r="Y18" s="6">
        <v>972</v>
      </c>
      <c r="Z18" s="6"/>
      <c r="AA18" s="6">
        <v>0</v>
      </c>
      <c r="AB18" s="6"/>
      <c r="AC18" s="17" t="s">
        <v>41</v>
      </c>
      <c r="AD18" s="6">
        <v>1039</v>
      </c>
      <c r="AE18" s="6"/>
      <c r="AF18" s="6">
        <v>4</v>
      </c>
      <c r="AG18" s="6"/>
    </row>
    <row r="19" spans="1:33" s="8" customFormat="1" x14ac:dyDescent="0.25">
      <c r="A19" s="7" t="s">
        <v>46</v>
      </c>
      <c r="B19" s="5"/>
      <c r="C19" s="5" t="s">
        <v>28</v>
      </c>
      <c r="D19" s="6" t="s">
        <v>133</v>
      </c>
      <c r="E19" s="7" t="s">
        <v>64</v>
      </c>
      <c r="F19" s="7">
        <v>115</v>
      </c>
      <c r="G19" s="7"/>
      <c r="H19" s="7"/>
      <c r="I19" s="7">
        <v>2.76</v>
      </c>
      <c r="J19" s="7" t="s">
        <v>31</v>
      </c>
      <c r="K19" s="7" t="s">
        <v>32</v>
      </c>
      <c r="L19" s="7" t="s">
        <v>76</v>
      </c>
      <c r="M19" s="7"/>
      <c r="N19" s="17" t="s">
        <v>38</v>
      </c>
      <c r="O19" s="6">
        <v>493</v>
      </c>
      <c r="P19" s="6"/>
      <c r="Q19" s="6">
        <v>0</v>
      </c>
      <c r="R19" s="6"/>
      <c r="S19" s="17" t="s">
        <v>39</v>
      </c>
      <c r="T19" s="6">
        <v>563</v>
      </c>
      <c r="U19" s="6"/>
      <c r="V19" s="6">
        <v>4</v>
      </c>
      <c r="W19" s="6"/>
      <c r="X19" s="17" t="s">
        <v>40</v>
      </c>
      <c r="Y19" s="6">
        <v>712</v>
      </c>
      <c r="Z19" s="6"/>
      <c r="AA19" s="6">
        <v>0</v>
      </c>
      <c r="AB19" s="6"/>
      <c r="AC19" s="17" t="s">
        <v>41</v>
      </c>
      <c r="AD19" s="6">
        <v>757</v>
      </c>
      <c r="AE19" s="6"/>
      <c r="AF19" s="6">
        <v>4</v>
      </c>
      <c r="AG19" s="6"/>
    </row>
    <row r="20" spans="1:33" s="8" customFormat="1" x14ac:dyDescent="0.25">
      <c r="A20" s="7" t="s">
        <v>46</v>
      </c>
      <c r="B20" s="5"/>
      <c r="C20" s="5" t="s">
        <v>28</v>
      </c>
      <c r="D20" s="6" t="s">
        <v>134</v>
      </c>
      <c r="E20" s="7" t="s">
        <v>64</v>
      </c>
      <c r="F20" s="7">
        <v>115</v>
      </c>
      <c r="G20" s="7"/>
      <c r="H20" s="7"/>
      <c r="I20" s="7">
        <v>0.22</v>
      </c>
      <c r="J20" s="7" t="s">
        <v>31</v>
      </c>
      <c r="K20" s="7" t="s">
        <v>32</v>
      </c>
      <c r="L20" s="7" t="s">
        <v>78</v>
      </c>
      <c r="M20" s="7"/>
      <c r="N20" s="17" t="s">
        <v>38</v>
      </c>
      <c r="O20" s="6">
        <v>449</v>
      </c>
      <c r="P20" s="6"/>
      <c r="Q20" s="6">
        <v>0</v>
      </c>
      <c r="R20" s="6"/>
      <c r="S20" s="17" t="s">
        <v>39</v>
      </c>
      <c r="T20" s="6">
        <v>512</v>
      </c>
      <c r="U20" s="6"/>
      <c r="V20" s="6">
        <v>4</v>
      </c>
      <c r="W20" s="6"/>
      <c r="X20" s="17" t="s">
        <v>40</v>
      </c>
      <c r="Y20" s="6">
        <v>647</v>
      </c>
      <c r="Z20" s="6"/>
      <c r="AA20" s="6">
        <v>0</v>
      </c>
      <c r="AB20" s="6"/>
      <c r="AC20" s="17" t="s">
        <v>41</v>
      </c>
      <c r="AD20" s="6">
        <v>687</v>
      </c>
      <c r="AE20" s="6"/>
      <c r="AF20" s="6">
        <v>4</v>
      </c>
      <c r="AG20" s="6"/>
    </row>
    <row r="21" spans="1:33" s="8" customFormat="1" x14ac:dyDescent="0.25">
      <c r="A21" s="7" t="s">
        <v>46</v>
      </c>
      <c r="B21" s="5"/>
      <c r="C21" s="5" t="s">
        <v>28</v>
      </c>
      <c r="D21" s="6" t="s">
        <v>135</v>
      </c>
      <c r="E21" s="7" t="s">
        <v>64</v>
      </c>
      <c r="F21" s="7">
        <v>115</v>
      </c>
      <c r="G21" s="7"/>
      <c r="H21" s="7"/>
      <c r="I21" s="7">
        <v>2.97</v>
      </c>
      <c r="J21" s="7" t="s">
        <v>31</v>
      </c>
      <c r="K21" s="7" t="s">
        <v>32</v>
      </c>
      <c r="L21" s="7" t="s">
        <v>76</v>
      </c>
      <c r="M21" s="7"/>
      <c r="N21" s="17" t="s">
        <v>38</v>
      </c>
      <c r="O21" s="6">
        <v>493</v>
      </c>
      <c r="P21" s="6"/>
      <c r="Q21" s="6">
        <v>0</v>
      </c>
      <c r="R21" s="6"/>
      <c r="S21" s="17" t="s">
        <v>39</v>
      </c>
      <c r="T21" s="6">
        <v>563</v>
      </c>
      <c r="U21" s="6"/>
      <c r="V21" s="6">
        <v>4</v>
      </c>
      <c r="W21" s="6"/>
      <c r="X21" s="17" t="s">
        <v>40</v>
      </c>
      <c r="Y21" s="6">
        <v>712</v>
      </c>
      <c r="Z21" s="6"/>
      <c r="AA21" s="6">
        <v>0</v>
      </c>
      <c r="AB21" s="6"/>
      <c r="AC21" s="17" t="s">
        <v>41</v>
      </c>
      <c r="AD21" s="6">
        <v>757</v>
      </c>
      <c r="AE21" s="6"/>
      <c r="AF21" s="6">
        <v>4</v>
      </c>
      <c r="AG21" s="6"/>
    </row>
    <row r="22" spans="1:33" s="8" customFormat="1" x14ac:dyDescent="0.25">
      <c r="A22" s="7" t="s">
        <v>46</v>
      </c>
      <c r="B22" s="5"/>
      <c r="C22" s="5" t="s">
        <v>28</v>
      </c>
      <c r="D22" s="6" t="s">
        <v>136</v>
      </c>
      <c r="E22" s="7" t="s">
        <v>64</v>
      </c>
      <c r="F22" s="7">
        <v>115</v>
      </c>
      <c r="G22" s="7"/>
      <c r="H22" s="7"/>
      <c r="I22" s="7">
        <v>0.31</v>
      </c>
      <c r="J22" s="7" t="s">
        <v>31</v>
      </c>
      <c r="K22" s="7" t="s">
        <v>32</v>
      </c>
      <c r="L22" s="7" t="s">
        <v>78</v>
      </c>
      <c r="M22" s="7"/>
      <c r="N22" s="17" t="s">
        <v>38</v>
      </c>
      <c r="O22" s="6">
        <v>449</v>
      </c>
      <c r="P22" s="6"/>
      <c r="Q22" s="6">
        <v>0</v>
      </c>
      <c r="R22" s="6"/>
      <c r="S22" s="17" t="s">
        <v>39</v>
      </c>
      <c r="T22" s="6">
        <v>512</v>
      </c>
      <c r="U22" s="6"/>
      <c r="V22" s="6">
        <v>4</v>
      </c>
      <c r="W22" s="6"/>
      <c r="X22" s="17" t="s">
        <v>40</v>
      </c>
      <c r="Y22" s="6">
        <v>647</v>
      </c>
      <c r="Z22" s="6"/>
      <c r="AA22" s="6">
        <v>0</v>
      </c>
      <c r="AB22" s="6"/>
      <c r="AC22" s="17" t="s">
        <v>41</v>
      </c>
      <c r="AD22" s="6">
        <v>687</v>
      </c>
      <c r="AE22" s="6"/>
      <c r="AF22" s="6">
        <v>4</v>
      </c>
      <c r="AG22" s="6"/>
    </row>
    <row r="23" spans="1:33" s="8" customFormat="1" x14ac:dyDescent="0.25">
      <c r="A23" s="7" t="s">
        <v>51</v>
      </c>
      <c r="B23" s="5">
        <v>118571</v>
      </c>
      <c r="C23" s="5" t="s">
        <v>28</v>
      </c>
      <c r="D23" s="6" t="s">
        <v>137</v>
      </c>
      <c r="E23" s="7" t="s">
        <v>64</v>
      </c>
      <c r="F23" s="7">
        <v>115</v>
      </c>
      <c r="G23" s="7"/>
      <c r="H23" s="7"/>
      <c r="I23" s="7">
        <v>2.59</v>
      </c>
      <c r="J23" s="7" t="s">
        <v>31</v>
      </c>
      <c r="K23" s="7" t="s">
        <v>32</v>
      </c>
      <c r="L23" s="7" t="s">
        <v>82</v>
      </c>
      <c r="M23" s="7"/>
      <c r="N23" s="17" t="s">
        <v>38</v>
      </c>
      <c r="O23" s="6">
        <v>390</v>
      </c>
      <c r="P23" s="6"/>
      <c r="Q23" s="6">
        <v>0</v>
      </c>
      <c r="R23" s="6"/>
      <c r="S23" s="17" t="s">
        <v>39</v>
      </c>
      <c r="T23" s="6">
        <v>456</v>
      </c>
      <c r="U23" s="6"/>
      <c r="V23" s="6">
        <v>4</v>
      </c>
      <c r="W23" s="6"/>
      <c r="X23" s="17" t="s">
        <v>40</v>
      </c>
      <c r="Y23" s="6">
        <v>589</v>
      </c>
      <c r="Z23" s="6"/>
      <c r="AA23" s="6">
        <v>0</v>
      </c>
      <c r="AB23" s="6"/>
      <c r="AC23" s="17" t="s">
        <v>41</v>
      </c>
      <c r="AD23" s="6">
        <v>630</v>
      </c>
      <c r="AE23" s="6"/>
      <c r="AF23" s="6">
        <v>4</v>
      </c>
      <c r="AG23" s="6"/>
    </row>
    <row r="24" spans="1:33" s="8" customFormat="1" x14ac:dyDescent="0.25">
      <c r="A24" s="7" t="s">
        <v>51</v>
      </c>
      <c r="B24" s="5">
        <v>118570</v>
      </c>
      <c r="C24" s="5" t="s">
        <v>28</v>
      </c>
      <c r="D24" s="6" t="s">
        <v>138</v>
      </c>
      <c r="E24" s="7" t="s">
        <v>64</v>
      </c>
      <c r="F24" s="7">
        <v>115</v>
      </c>
      <c r="G24" s="7"/>
      <c r="H24" s="7"/>
      <c r="I24" s="7">
        <v>4.32</v>
      </c>
      <c r="J24" s="7" t="s">
        <v>31</v>
      </c>
      <c r="K24" s="7" t="s">
        <v>32</v>
      </c>
      <c r="L24" s="7" t="s">
        <v>84</v>
      </c>
      <c r="M24" s="7"/>
      <c r="N24" s="17" t="s">
        <v>38</v>
      </c>
      <c r="O24" s="6">
        <v>493</v>
      </c>
      <c r="P24" s="6"/>
      <c r="Q24" s="6">
        <v>0</v>
      </c>
      <c r="R24" s="6"/>
      <c r="S24" s="17" t="s">
        <v>39</v>
      </c>
      <c r="T24" s="6">
        <v>563</v>
      </c>
      <c r="U24" s="6"/>
      <c r="V24" s="6">
        <v>4</v>
      </c>
      <c r="W24" s="6"/>
      <c r="X24" s="17" t="s">
        <v>40</v>
      </c>
      <c r="Y24" s="6">
        <v>712</v>
      </c>
      <c r="Z24" s="6"/>
      <c r="AA24" s="6">
        <v>0</v>
      </c>
      <c r="AB24" s="6"/>
      <c r="AC24" s="17" t="s">
        <v>41</v>
      </c>
      <c r="AD24" s="6">
        <v>757</v>
      </c>
      <c r="AE24" s="6"/>
      <c r="AF24" s="6">
        <v>4</v>
      </c>
      <c r="AG24" s="6"/>
    </row>
    <row r="25" spans="1:33" s="8" customFormat="1" x14ac:dyDescent="0.25">
      <c r="A25" s="7" t="s">
        <v>51</v>
      </c>
      <c r="B25" s="5">
        <v>118576</v>
      </c>
      <c r="C25" s="5" t="s">
        <v>28</v>
      </c>
      <c r="D25" s="6" t="s">
        <v>139</v>
      </c>
      <c r="E25" s="7" t="s">
        <v>64</v>
      </c>
      <c r="F25" s="7">
        <v>115</v>
      </c>
      <c r="G25" s="7"/>
      <c r="H25" s="7"/>
      <c r="I25" s="7">
        <v>9.6199999999999992</v>
      </c>
      <c r="J25" s="7" t="s">
        <v>31</v>
      </c>
      <c r="K25" s="7" t="s">
        <v>32</v>
      </c>
      <c r="L25" s="7" t="s">
        <v>78</v>
      </c>
      <c r="M25" s="7"/>
      <c r="N25" s="17" t="s">
        <v>38</v>
      </c>
      <c r="O25" s="6">
        <v>449</v>
      </c>
      <c r="P25" s="6"/>
      <c r="Q25" s="6">
        <v>0</v>
      </c>
      <c r="R25" s="6"/>
      <c r="S25" s="17" t="s">
        <v>39</v>
      </c>
      <c r="T25" s="6">
        <v>512</v>
      </c>
      <c r="U25" s="6"/>
      <c r="V25" s="6">
        <v>4</v>
      </c>
      <c r="W25" s="6"/>
      <c r="X25" s="17" t="s">
        <v>40</v>
      </c>
      <c r="Y25" s="6">
        <v>647</v>
      </c>
      <c r="Z25" s="6"/>
      <c r="AA25" s="6">
        <v>0</v>
      </c>
      <c r="AB25" s="6"/>
      <c r="AC25" s="17" t="s">
        <v>41</v>
      </c>
      <c r="AD25" s="6">
        <v>687</v>
      </c>
      <c r="AE25" s="6"/>
      <c r="AF25" s="6">
        <v>4</v>
      </c>
      <c r="AG25" s="6"/>
    </row>
    <row r="26" spans="1:33" s="8" customFormat="1" x14ac:dyDescent="0.25">
      <c r="A26" s="7" t="s">
        <v>46</v>
      </c>
      <c r="B26" s="5"/>
      <c r="C26" s="5" t="s">
        <v>28</v>
      </c>
      <c r="D26" s="6" t="s">
        <v>140</v>
      </c>
      <c r="E26" s="7" t="s">
        <v>64</v>
      </c>
      <c r="F26" s="7">
        <v>115</v>
      </c>
      <c r="G26" s="7"/>
      <c r="H26" s="7"/>
      <c r="I26" s="7">
        <v>2.8</v>
      </c>
      <c r="J26" s="7" t="s">
        <v>31</v>
      </c>
      <c r="K26" s="7" t="s">
        <v>32</v>
      </c>
      <c r="L26" s="7" t="s">
        <v>76</v>
      </c>
      <c r="M26" s="7"/>
      <c r="N26" s="17" t="s">
        <v>38</v>
      </c>
      <c r="O26" s="6">
        <v>493</v>
      </c>
      <c r="P26" s="6"/>
      <c r="Q26" s="6">
        <v>0</v>
      </c>
      <c r="R26" s="6"/>
      <c r="S26" s="17" t="s">
        <v>39</v>
      </c>
      <c r="T26" s="6">
        <v>563</v>
      </c>
      <c r="U26" s="6"/>
      <c r="V26" s="6">
        <v>4</v>
      </c>
      <c r="W26" s="6"/>
      <c r="X26" s="17" t="s">
        <v>40</v>
      </c>
      <c r="Y26" s="6">
        <v>712</v>
      </c>
      <c r="Z26" s="6"/>
      <c r="AA26" s="6">
        <v>0</v>
      </c>
      <c r="AB26" s="6"/>
      <c r="AC26" s="17" t="s">
        <v>41</v>
      </c>
      <c r="AD26" s="6">
        <v>757</v>
      </c>
      <c r="AE26" s="6"/>
      <c r="AF26" s="6">
        <v>4</v>
      </c>
      <c r="AG26" s="6"/>
    </row>
    <row r="27" spans="1:33" s="8" customFormat="1" x14ac:dyDescent="0.25">
      <c r="A27" s="7" t="s">
        <v>46</v>
      </c>
      <c r="B27" s="5"/>
      <c r="C27" s="5" t="s">
        <v>28</v>
      </c>
      <c r="D27" s="6" t="s">
        <v>141</v>
      </c>
      <c r="E27" s="7" t="s">
        <v>64</v>
      </c>
      <c r="F27" s="7">
        <v>115</v>
      </c>
      <c r="G27" s="7"/>
      <c r="H27" s="7"/>
      <c r="I27" s="7">
        <v>0.1</v>
      </c>
      <c r="J27" s="7" t="s">
        <v>31</v>
      </c>
      <c r="K27" s="7" t="s">
        <v>32</v>
      </c>
      <c r="L27" s="7" t="s">
        <v>78</v>
      </c>
      <c r="M27" s="7"/>
      <c r="N27" s="17" t="s">
        <v>38</v>
      </c>
      <c r="O27" s="6">
        <v>449</v>
      </c>
      <c r="P27" s="6"/>
      <c r="Q27" s="6">
        <v>0</v>
      </c>
      <c r="R27" s="6"/>
      <c r="S27" s="17" t="s">
        <v>39</v>
      </c>
      <c r="T27" s="6">
        <v>512</v>
      </c>
      <c r="U27" s="6"/>
      <c r="V27" s="6">
        <v>4</v>
      </c>
      <c r="W27" s="6"/>
      <c r="X27" s="17" t="s">
        <v>40</v>
      </c>
      <c r="Y27" s="6">
        <v>647</v>
      </c>
      <c r="Z27" s="6"/>
      <c r="AA27" s="6">
        <v>0</v>
      </c>
      <c r="AB27" s="6"/>
      <c r="AC27" s="17" t="s">
        <v>41</v>
      </c>
      <c r="AD27" s="6">
        <v>687</v>
      </c>
      <c r="AE27" s="6"/>
      <c r="AF27" s="6">
        <v>4</v>
      </c>
      <c r="AG27" s="6"/>
    </row>
    <row r="28" spans="1:33" s="8" customFormat="1" x14ac:dyDescent="0.25">
      <c r="A28" s="7" t="s">
        <v>51</v>
      </c>
      <c r="B28" s="5">
        <v>118575</v>
      </c>
      <c r="C28" s="5" t="s">
        <v>28</v>
      </c>
      <c r="D28" s="6" t="s">
        <v>142</v>
      </c>
      <c r="E28" s="7" t="s">
        <v>64</v>
      </c>
      <c r="F28" s="7">
        <v>115</v>
      </c>
      <c r="G28" s="7"/>
      <c r="H28" s="7"/>
      <c r="I28" s="7">
        <v>4.78</v>
      </c>
      <c r="J28" s="7" t="s">
        <v>31</v>
      </c>
      <c r="K28" s="7" t="s">
        <v>32</v>
      </c>
      <c r="L28" s="7" t="s">
        <v>89</v>
      </c>
      <c r="M28" s="7"/>
      <c r="N28" s="17" t="s">
        <v>38</v>
      </c>
      <c r="O28" s="6">
        <v>390</v>
      </c>
      <c r="P28" s="6"/>
      <c r="Q28" s="6">
        <v>0</v>
      </c>
      <c r="R28" s="6"/>
      <c r="S28" s="17" t="s">
        <v>39</v>
      </c>
      <c r="T28" s="6">
        <v>456</v>
      </c>
      <c r="U28" s="6"/>
      <c r="V28" s="6">
        <v>4</v>
      </c>
      <c r="W28" s="6"/>
      <c r="X28" s="17" t="s">
        <v>40</v>
      </c>
      <c r="Y28" s="6">
        <v>589</v>
      </c>
      <c r="Z28" s="6"/>
      <c r="AA28" s="6">
        <v>0</v>
      </c>
      <c r="AB28" s="6"/>
      <c r="AC28" s="17" t="s">
        <v>41</v>
      </c>
      <c r="AD28" s="6">
        <v>630</v>
      </c>
      <c r="AE28" s="6"/>
      <c r="AF28" s="6">
        <v>4</v>
      </c>
      <c r="AG28" s="6"/>
    </row>
    <row r="29" spans="1:33" s="8" customFormat="1" x14ac:dyDescent="0.25">
      <c r="A29" s="7" t="s">
        <v>46</v>
      </c>
      <c r="B29" s="5"/>
      <c r="C29" s="5" t="s">
        <v>28</v>
      </c>
      <c r="D29" s="6" t="s">
        <v>143</v>
      </c>
      <c r="E29" s="7" t="s">
        <v>64</v>
      </c>
      <c r="F29" s="7">
        <v>115</v>
      </c>
      <c r="G29" s="7"/>
      <c r="H29" s="7"/>
      <c r="I29" s="7">
        <v>10.58</v>
      </c>
      <c r="J29" s="7" t="s">
        <v>31</v>
      </c>
      <c r="K29" s="7" t="s">
        <v>32</v>
      </c>
      <c r="L29" s="7" t="s">
        <v>76</v>
      </c>
      <c r="M29" s="7"/>
      <c r="N29" s="17" t="s">
        <v>38</v>
      </c>
      <c r="O29" s="6">
        <v>493</v>
      </c>
      <c r="P29" s="6"/>
      <c r="Q29" s="6">
        <v>0</v>
      </c>
      <c r="R29" s="6"/>
      <c r="S29" s="17" t="s">
        <v>39</v>
      </c>
      <c r="T29" s="6">
        <v>563</v>
      </c>
      <c r="U29" s="6"/>
      <c r="V29" s="6">
        <v>4</v>
      </c>
      <c r="W29" s="6"/>
      <c r="X29" s="17" t="s">
        <v>40</v>
      </c>
      <c r="Y29" s="6">
        <v>712</v>
      </c>
      <c r="Z29" s="6"/>
      <c r="AA29" s="6">
        <v>0</v>
      </c>
      <c r="AB29" s="6"/>
      <c r="AC29" s="17" t="s">
        <v>41</v>
      </c>
      <c r="AD29" s="6">
        <v>757</v>
      </c>
      <c r="AE29" s="6"/>
      <c r="AF29" s="6">
        <v>4</v>
      </c>
      <c r="AG29" s="6"/>
    </row>
    <row r="30" spans="1:33" s="8" customFormat="1" x14ac:dyDescent="0.25">
      <c r="A30" s="7" t="s">
        <v>71</v>
      </c>
      <c r="B30" s="5"/>
      <c r="C30" s="5" t="s">
        <v>28</v>
      </c>
      <c r="D30" s="6" t="s">
        <v>147</v>
      </c>
      <c r="E30" s="7" t="s">
        <v>54</v>
      </c>
      <c r="F30" s="7">
        <v>115</v>
      </c>
      <c r="G30" s="7"/>
      <c r="H30" s="7"/>
      <c r="I30" s="7"/>
      <c r="J30" s="7" t="s">
        <v>31</v>
      </c>
      <c r="K30" s="7" t="s">
        <v>32</v>
      </c>
      <c r="L30" s="6" t="s">
        <v>91</v>
      </c>
      <c r="M30" s="7"/>
      <c r="N30" s="17" t="s">
        <v>38</v>
      </c>
      <c r="O30" s="6">
        <v>600</v>
      </c>
      <c r="P30" s="6"/>
      <c r="Q30" s="6">
        <v>0</v>
      </c>
      <c r="R30" s="6"/>
      <c r="S30" s="17" t="s">
        <v>39</v>
      </c>
      <c r="T30" s="6">
        <v>600</v>
      </c>
      <c r="U30" s="6"/>
      <c r="V30" s="6">
        <v>4</v>
      </c>
      <c r="W30" s="6"/>
      <c r="X30" s="17" t="s">
        <v>40</v>
      </c>
      <c r="Y30" s="6">
        <v>600</v>
      </c>
      <c r="Z30" s="6"/>
      <c r="AA30" s="6">
        <v>0</v>
      </c>
      <c r="AB30" s="6"/>
      <c r="AC30" s="17" t="s">
        <v>41</v>
      </c>
      <c r="AD30" s="6">
        <v>600</v>
      </c>
      <c r="AE30" s="6"/>
      <c r="AF30" s="6">
        <v>4</v>
      </c>
      <c r="AG30" s="6"/>
    </row>
    <row r="31" spans="1:33" s="8" customFormat="1" x14ac:dyDescent="0.25">
      <c r="A31" s="7" t="s">
        <v>71</v>
      </c>
      <c r="B31" s="5">
        <v>118574</v>
      </c>
      <c r="C31" s="5" t="s">
        <v>28</v>
      </c>
      <c r="D31" s="6" t="s">
        <v>148</v>
      </c>
      <c r="E31" s="7" t="s">
        <v>54</v>
      </c>
      <c r="F31" s="7">
        <v>115</v>
      </c>
      <c r="G31" s="7"/>
      <c r="H31" s="7"/>
      <c r="I31" s="7"/>
      <c r="J31" s="7" t="s">
        <v>31</v>
      </c>
      <c r="K31" s="7" t="s">
        <v>32</v>
      </c>
      <c r="L31" s="7">
        <v>117</v>
      </c>
      <c r="M31" s="7"/>
      <c r="N31" s="17" t="s">
        <v>38</v>
      </c>
      <c r="O31" s="6">
        <v>600</v>
      </c>
      <c r="P31" s="6"/>
      <c r="Q31" s="6">
        <v>0</v>
      </c>
      <c r="R31" s="6">
        <v>22</v>
      </c>
      <c r="S31" s="17" t="s">
        <v>39</v>
      </c>
      <c r="T31" s="6">
        <v>600</v>
      </c>
      <c r="U31" s="6"/>
      <c r="V31" s="6">
        <v>4</v>
      </c>
      <c r="W31" s="6">
        <v>22</v>
      </c>
      <c r="X31" s="17" t="s">
        <v>40</v>
      </c>
      <c r="Y31" s="6">
        <v>600</v>
      </c>
      <c r="Z31" s="6"/>
      <c r="AA31" s="6">
        <v>0</v>
      </c>
      <c r="AB31" s="6">
        <v>22</v>
      </c>
      <c r="AC31" s="17" t="s">
        <v>41</v>
      </c>
      <c r="AD31" s="6">
        <v>600</v>
      </c>
      <c r="AE31" s="6"/>
      <c r="AF31" s="6">
        <v>4</v>
      </c>
      <c r="AG31" s="6">
        <v>22</v>
      </c>
    </row>
    <row r="32" spans="1:33" s="8" customFormat="1" x14ac:dyDescent="0.25">
      <c r="A32" s="20" t="s">
        <v>71</v>
      </c>
      <c r="B32" s="5"/>
      <c r="C32" s="5" t="s">
        <v>28</v>
      </c>
      <c r="D32" s="6" t="s">
        <v>149</v>
      </c>
      <c r="E32" s="7" t="s">
        <v>54</v>
      </c>
      <c r="F32" s="7">
        <v>115</v>
      </c>
      <c r="G32" s="7"/>
      <c r="H32" s="7"/>
      <c r="I32" s="7"/>
      <c r="J32" s="7" t="s">
        <v>31</v>
      </c>
      <c r="K32" s="7" t="s">
        <v>32</v>
      </c>
      <c r="L32" s="6" t="s">
        <v>92</v>
      </c>
      <c r="M32" s="7"/>
      <c r="N32" s="17" t="s">
        <v>38</v>
      </c>
      <c r="O32" s="6">
        <v>600</v>
      </c>
      <c r="P32" s="6"/>
      <c r="Q32" s="6">
        <v>0</v>
      </c>
      <c r="R32" s="6"/>
      <c r="S32" s="17" t="s">
        <v>39</v>
      </c>
      <c r="T32" s="6">
        <v>600</v>
      </c>
      <c r="U32" s="6"/>
      <c r="V32" s="6">
        <v>4</v>
      </c>
      <c r="W32" s="6"/>
      <c r="X32" s="17" t="s">
        <v>40</v>
      </c>
      <c r="Y32" s="6">
        <v>600</v>
      </c>
      <c r="Z32" s="6"/>
      <c r="AA32" s="6">
        <v>0</v>
      </c>
      <c r="AB32" s="6"/>
      <c r="AC32" s="17" t="s">
        <v>41</v>
      </c>
      <c r="AD32" s="6">
        <v>600</v>
      </c>
      <c r="AE32" s="6"/>
      <c r="AF32" s="6">
        <v>4</v>
      </c>
      <c r="AG32" s="6"/>
    </row>
    <row r="33" spans="1:33" s="8" customFormat="1" x14ac:dyDescent="0.25">
      <c r="A33" s="7" t="s">
        <v>33</v>
      </c>
      <c r="B33" s="5">
        <v>186805</v>
      </c>
      <c r="C33" s="5" t="s">
        <v>28</v>
      </c>
      <c r="D33" s="6" t="s">
        <v>150</v>
      </c>
      <c r="E33" s="7" t="s">
        <v>54</v>
      </c>
      <c r="F33" s="7">
        <v>115</v>
      </c>
      <c r="G33" s="7"/>
      <c r="H33" s="7"/>
      <c r="I33" s="7"/>
      <c r="J33" s="7" t="s">
        <v>31</v>
      </c>
      <c r="K33" s="7" t="s">
        <v>32</v>
      </c>
      <c r="L33" s="6" t="s">
        <v>94</v>
      </c>
      <c r="M33" s="7"/>
      <c r="N33" s="17" t="s">
        <v>38</v>
      </c>
      <c r="O33" s="6">
        <v>2000</v>
      </c>
      <c r="P33" s="6"/>
      <c r="Q33" s="6">
        <v>0</v>
      </c>
      <c r="R33" s="6"/>
      <c r="S33" s="17" t="s">
        <v>39</v>
      </c>
      <c r="T33" s="6">
        <v>2000</v>
      </c>
      <c r="U33" s="6"/>
      <c r="V33" s="6">
        <v>4</v>
      </c>
      <c r="W33" s="6"/>
      <c r="X33" s="17" t="s">
        <v>40</v>
      </c>
      <c r="Y33" s="6">
        <v>2000</v>
      </c>
      <c r="Z33" s="6"/>
      <c r="AA33" s="6">
        <v>0</v>
      </c>
      <c r="AB33" s="6"/>
      <c r="AC33" s="17" t="s">
        <v>41</v>
      </c>
      <c r="AD33" s="6">
        <v>2000</v>
      </c>
      <c r="AE33" s="6"/>
      <c r="AF33" s="6">
        <v>4</v>
      </c>
      <c r="AG33" s="6"/>
    </row>
    <row r="34" spans="1:33" s="8" customFormat="1" x14ac:dyDescent="0.25">
      <c r="A34" s="7" t="s">
        <v>51</v>
      </c>
      <c r="B34" s="5">
        <v>118577</v>
      </c>
      <c r="C34" s="5" t="s">
        <v>28</v>
      </c>
      <c r="D34" s="6" t="s">
        <v>151</v>
      </c>
      <c r="E34" s="7" t="s">
        <v>70</v>
      </c>
      <c r="F34" s="7">
        <v>115</v>
      </c>
      <c r="G34" s="7"/>
      <c r="H34" s="7"/>
      <c r="I34" s="7"/>
      <c r="J34" s="7" t="s">
        <v>31</v>
      </c>
      <c r="K34" s="7" t="s">
        <v>32</v>
      </c>
      <c r="L34" s="7"/>
      <c r="M34" s="7"/>
      <c r="N34" s="17" t="s">
        <v>39</v>
      </c>
      <c r="O34" s="6">
        <v>400</v>
      </c>
      <c r="P34" s="6"/>
      <c r="Q34" s="6">
        <v>0</v>
      </c>
      <c r="R34" s="6">
        <v>27</v>
      </c>
      <c r="S34" s="17" t="s">
        <v>39</v>
      </c>
      <c r="T34" s="6">
        <v>400</v>
      </c>
      <c r="U34" s="6"/>
      <c r="V34" s="6">
        <v>4</v>
      </c>
      <c r="W34" s="6">
        <v>27</v>
      </c>
      <c r="X34" s="17" t="s">
        <v>40</v>
      </c>
      <c r="Y34" s="6">
        <v>400</v>
      </c>
      <c r="Z34" s="6"/>
      <c r="AA34" s="6">
        <v>0</v>
      </c>
      <c r="AB34" s="6">
        <v>27</v>
      </c>
      <c r="AC34" s="17" t="s">
        <v>41</v>
      </c>
      <c r="AD34" s="6">
        <v>400</v>
      </c>
      <c r="AE34" s="6"/>
      <c r="AF34" s="6">
        <v>4</v>
      </c>
      <c r="AG34" s="6">
        <v>27</v>
      </c>
    </row>
    <row r="35" spans="1:33" s="8" customFormat="1" x14ac:dyDescent="0.25">
      <c r="A35" s="7" t="s">
        <v>51</v>
      </c>
      <c r="B35" s="5">
        <v>118578</v>
      </c>
      <c r="C35" s="5" t="s">
        <v>28</v>
      </c>
      <c r="D35" s="6" t="s">
        <v>151</v>
      </c>
      <c r="E35" s="7" t="s">
        <v>64</v>
      </c>
      <c r="F35" s="7">
        <v>115</v>
      </c>
      <c r="G35" s="7"/>
      <c r="H35" s="7"/>
      <c r="I35" s="7">
        <v>4.82</v>
      </c>
      <c r="J35" s="7" t="s">
        <v>31</v>
      </c>
      <c r="K35" s="7" t="s">
        <v>32</v>
      </c>
      <c r="L35" s="7" t="s">
        <v>76</v>
      </c>
      <c r="M35" s="7"/>
      <c r="N35" s="17" t="s">
        <v>38</v>
      </c>
      <c r="O35" s="6">
        <v>493</v>
      </c>
      <c r="P35" s="6"/>
      <c r="Q35" s="6">
        <v>0</v>
      </c>
      <c r="R35" s="6"/>
      <c r="S35" s="17" t="s">
        <v>39</v>
      </c>
      <c r="T35" s="6">
        <v>563</v>
      </c>
      <c r="U35" s="6"/>
      <c r="V35" s="6">
        <v>4</v>
      </c>
      <c r="W35" s="6"/>
      <c r="X35" s="17" t="s">
        <v>40</v>
      </c>
      <c r="Y35" s="6">
        <v>712</v>
      </c>
      <c r="Z35" s="6"/>
      <c r="AA35" s="6">
        <v>0</v>
      </c>
      <c r="AB35" s="6"/>
      <c r="AC35" s="17" t="s">
        <v>41</v>
      </c>
      <c r="AD35" s="6">
        <v>757</v>
      </c>
      <c r="AE35" s="6"/>
      <c r="AF35" s="6">
        <v>4</v>
      </c>
      <c r="AG35" s="6"/>
    </row>
    <row r="36" spans="1:33" s="8" customFormat="1" x14ac:dyDescent="0.25">
      <c r="A36" s="7" t="s">
        <v>33</v>
      </c>
      <c r="B36" s="5">
        <v>186806</v>
      </c>
      <c r="C36" s="5" t="s">
        <v>28</v>
      </c>
      <c r="D36" s="6" t="s">
        <v>152</v>
      </c>
      <c r="E36" s="7" t="s">
        <v>54</v>
      </c>
      <c r="F36" s="7">
        <v>115</v>
      </c>
      <c r="G36" s="7"/>
      <c r="H36" s="7"/>
      <c r="I36" s="7"/>
      <c r="J36" s="7" t="s">
        <v>31</v>
      </c>
      <c r="K36" s="7" t="s">
        <v>32</v>
      </c>
      <c r="L36" s="6" t="s">
        <v>98</v>
      </c>
      <c r="M36" s="7"/>
      <c r="N36" s="17" t="s">
        <v>38</v>
      </c>
      <c r="O36" s="6">
        <v>2000</v>
      </c>
      <c r="P36" s="6"/>
      <c r="Q36" s="6">
        <v>0</v>
      </c>
      <c r="R36" s="6"/>
      <c r="S36" s="17" t="s">
        <v>39</v>
      </c>
      <c r="T36" s="6">
        <v>2000</v>
      </c>
      <c r="U36" s="6"/>
      <c r="V36" s="6">
        <v>4</v>
      </c>
      <c r="W36" s="6"/>
      <c r="X36" s="17" t="s">
        <v>40</v>
      </c>
      <c r="Y36" s="6">
        <v>2000</v>
      </c>
      <c r="Z36" s="6"/>
      <c r="AA36" s="6">
        <v>0</v>
      </c>
      <c r="AB36" s="6"/>
      <c r="AC36" s="17" t="s">
        <v>41</v>
      </c>
      <c r="AD36" s="6">
        <v>2000</v>
      </c>
      <c r="AE36" s="6"/>
      <c r="AF36" s="6">
        <v>4</v>
      </c>
      <c r="AG36" s="6"/>
    </row>
    <row r="37" spans="1:33" s="8" customFormat="1" x14ac:dyDescent="0.25">
      <c r="A37" s="7" t="s">
        <v>51</v>
      </c>
      <c r="B37" s="5">
        <v>173428</v>
      </c>
      <c r="C37" s="5" t="s">
        <v>153</v>
      </c>
      <c r="D37" s="6" t="s">
        <v>100</v>
      </c>
      <c r="E37" s="7" t="s">
        <v>36</v>
      </c>
      <c r="F37" s="7">
        <v>115</v>
      </c>
      <c r="G37" s="7"/>
      <c r="H37" s="7"/>
      <c r="I37" s="7"/>
      <c r="J37" s="7" t="s">
        <v>31</v>
      </c>
      <c r="K37" s="7" t="s">
        <v>32</v>
      </c>
      <c r="L37" s="6" t="s">
        <v>101</v>
      </c>
      <c r="M37" s="7"/>
      <c r="N37" s="17" t="s">
        <v>38</v>
      </c>
      <c r="O37" s="6">
        <v>1770</v>
      </c>
      <c r="P37" s="6"/>
      <c r="Q37" s="6">
        <v>0</v>
      </c>
      <c r="R37" s="6"/>
      <c r="S37" s="17" t="s">
        <v>39</v>
      </c>
      <c r="T37" s="6">
        <v>2235</v>
      </c>
      <c r="U37" s="6"/>
      <c r="V37" s="6">
        <v>4</v>
      </c>
      <c r="W37" s="6"/>
      <c r="X37" s="17" t="s">
        <v>40</v>
      </c>
      <c r="Y37" s="6">
        <v>2445</v>
      </c>
      <c r="Z37" s="6"/>
      <c r="AA37" s="6">
        <v>0</v>
      </c>
      <c r="AB37" s="6"/>
      <c r="AC37" s="17" t="s">
        <v>41</v>
      </c>
      <c r="AD37" s="6">
        <v>2805</v>
      </c>
      <c r="AE37" s="6"/>
      <c r="AF37" s="6">
        <v>4</v>
      </c>
      <c r="AG37" s="6"/>
    </row>
    <row r="38" spans="1:33" s="8" customFormat="1" x14ac:dyDescent="0.25">
      <c r="A38" s="7" t="s">
        <v>51</v>
      </c>
      <c r="B38" s="5">
        <v>182003</v>
      </c>
      <c r="C38" s="5" t="s">
        <v>153</v>
      </c>
      <c r="D38" s="6" t="s">
        <v>102</v>
      </c>
      <c r="E38" s="7" t="s">
        <v>36</v>
      </c>
      <c r="F38" s="7">
        <v>115</v>
      </c>
      <c r="G38" s="7"/>
      <c r="H38" s="7"/>
      <c r="I38" s="7"/>
      <c r="J38" s="7" t="s">
        <v>31</v>
      </c>
      <c r="K38" s="7" t="s">
        <v>32</v>
      </c>
      <c r="L38" s="6" t="s">
        <v>101</v>
      </c>
      <c r="M38" s="7"/>
      <c r="N38" s="17" t="s">
        <v>38</v>
      </c>
      <c r="O38" s="6">
        <v>1770</v>
      </c>
      <c r="P38" s="6"/>
      <c r="Q38" s="6">
        <v>0</v>
      </c>
      <c r="R38" s="6"/>
      <c r="S38" s="17" t="s">
        <v>39</v>
      </c>
      <c r="T38" s="6">
        <v>2235</v>
      </c>
      <c r="U38" s="6"/>
      <c r="V38" s="6">
        <v>4</v>
      </c>
      <c r="W38" s="6"/>
      <c r="X38" s="17" t="s">
        <v>40</v>
      </c>
      <c r="Y38" s="6">
        <v>2445</v>
      </c>
      <c r="Z38" s="6"/>
      <c r="AA38" s="6">
        <v>0</v>
      </c>
      <c r="AB38" s="6"/>
      <c r="AC38" s="17" t="s">
        <v>41</v>
      </c>
      <c r="AD38" s="6">
        <v>2805</v>
      </c>
      <c r="AE38" s="6"/>
      <c r="AF38" s="6">
        <v>4</v>
      </c>
      <c r="AG38" s="6"/>
    </row>
    <row r="39" spans="1:33" s="8" customFormat="1" x14ac:dyDescent="0.25">
      <c r="A39" s="7"/>
      <c r="B39" s="5">
        <v>96655</v>
      </c>
      <c r="C39" s="5" t="s">
        <v>153</v>
      </c>
      <c r="D39" s="6">
        <v>132</v>
      </c>
      <c r="E39" s="7" t="s">
        <v>43</v>
      </c>
      <c r="F39" s="7">
        <v>115</v>
      </c>
      <c r="G39" s="7"/>
      <c r="H39" s="7"/>
      <c r="I39" s="7"/>
      <c r="J39" s="7" t="s">
        <v>31</v>
      </c>
      <c r="K39" s="7" t="s">
        <v>32</v>
      </c>
      <c r="L39" s="7"/>
      <c r="M39" s="7"/>
      <c r="N39" s="17" t="s">
        <v>38</v>
      </c>
      <c r="O39" s="6">
        <v>2000</v>
      </c>
      <c r="P39" s="6"/>
      <c r="Q39" s="6">
        <v>0</v>
      </c>
      <c r="R39" s="6"/>
      <c r="S39" s="17" t="s">
        <v>39</v>
      </c>
      <c r="T39" s="6">
        <v>2000</v>
      </c>
      <c r="U39" s="6"/>
      <c r="V39" s="6">
        <v>4</v>
      </c>
      <c r="W39" s="6"/>
      <c r="X39" s="17" t="s">
        <v>40</v>
      </c>
      <c r="Y39" s="6">
        <v>2000</v>
      </c>
      <c r="Z39" s="6"/>
      <c r="AA39" s="6">
        <v>0</v>
      </c>
      <c r="AB39" s="6"/>
      <c r="AC39" s="17" t="s">
        <v>41</v>
      </c>
      <c r="AD39" s="6">
        <v>2000</v>
      </c>
      <c r="AE39" s="6"/>
      <c r="AF39" s="6">
        <v>4</v>
      </c>
      <c r="AG39" s="6"/>
    </row>
    <row r="40" spans="1:33" s="8" customFormat="1" x14ac:dyDescent="0.25">
      <c r="A40" s="7" t="s">
        <v>51</v>
      </c>
      <c r="B40" s="5">
        <v>166651</v>
      </c>
      <c r="C40" s="5" t="s">
        <v>153</v>
      </c>
      <c r="D40" s="6" t="s">
        <v>104</v>
      </c>
      <c r="E40" s="7" t="s">
        <v>48</v>
      </c>
      <c r="F40" s="7">
        <v>115</v>
      </c>
      <c r="G40" s="7"/>
      <c r="H40" s="7"/>
      <c r="I40" s="7"/>
      <c r="J40" s="7" t="s">
        <v>31</v>
      </c>
      <c r="K40" s="7" t="s">
        <v>32</v>
      </c>
      <c r="L40" s="7" t="s">
        <v>105</v>
      </c>
      <c r="M40" s="7"/>
      <c r="N40" s="17" t="s">
        <v>38</v>
      </c>
      <c r="O40" s="6">
        <v>2000</v>
      </c>
      <c r="P40" s="6"/>
      <c r="Q40" s="6">
        <v>0</v>
      </c>
      <c r="R40" s="6"/>
      <c r="S40" s="17" t="s">
        <v>39</v>
      </c>
      <c r="T40" s="6">
        <v>2000</v>
      </c>
      <c r="U40" s="6"/>
      <c r="V40" s="6">
        <v>4</v>
      </c>
      <c r="W40" s="6"/>
      <c r="X40" s="17" t="s">
        <v>40</v>
      </c>
      <c r="Y40" s="6">
        <v>2000</v>
      </c>
      <c r="Z40" s="6"/>
      <c r="AA40" s="6">
        <v>0</v>
      </c>
      <c r="AB40" s="6"/>
      <c r="AC40" s="17" t="s">
        <v>41</v>
      </c>
      <c r="AD40" s="6">
        <v>2000</v>
      </c>
      <c r="AE40" s="6"/>
      <c r="AF40" s="6">
        <v>4</v>
      </c>
      <c r="AG40" s="6"/>
    </row>
    <row r="41" spans="1:33" s="8" customFormat="1" x14ac:dyDescent="0.25">
      <c r="A41" s="7" t="s">
        <v>46</v>
      </c>
      <c r="B41" s="5"/>
      <c r="C41" s="5" t="s">
        <v>153</v>
      </c>
      <c r="D41" s="6">
        <v>131</v>
      </c>
      <c r="E41" s="7" t="s">
        <v>54</v>
      </c>
      <c r="F41" s="7">
        <v>115</v>
      </c>
      <c r="G41" s="7"/>
      <c r="H41" s="7"/>
      <c r="I41" s="7"/>
      <c r="J41" s="7" t="s">
        <v>31</v>
      </c>
      <c r="K41" s="7" t="s">
        <v>32</v>
      </c>
      <c r="L41" s="7"/>
      <c r="M41" s="7"/>
      <c r="N41" s="17" t="s">
        <v>38</v>
      </c>
      <c r="O41" s="6">
        <v>2000</v>
      </c>
      <c r="P41" s="6"/>
      <c r="Q41" s="6">
        <v>0</v>
      </c>
      <c r="R41" s="6"/>
      <c r="S41" s="17" t="s">
        <v>39</v>
      </c>
      <c r="T41" s="6">
        <v>2000</v>
      </c>
      <c r="U41" s="6"/>
      <c r="V41" s="6">
        <v>4</v>
      </c>
      <c r="W41" s="6"/>
      <c r="X41" s="17" t="s">
        <v>40</v>
      </c>
      <c r="Y41" s="6">
        <v>2000</v>
      </c>
      <c r="Z41" s="6"/>
      <c r="AA41" s="6">
        <v>0</v>
      </c>
      <c r="AB41" s="6"/>
      <c r="AC41" s="17" t="s">
        <v>41</v>
      </c>
      <c r="AD41" s="6">
        <v>2000</v>
      </c>
      <c r="AE41" s="6"/>
      <c r="AF41" s="6">
        <v>4</v>
      </c>
      <c r="AG41" s="6"/>
    </row>
    <row r="42" spans="1:33" s="8" customFormat="1" x14ac:dyDescent="0.25">
      <c r="A42" s="7" t="s">
        <v>51</v>
      </c>
      <c r="B42" s="5">
        <v>155179</v>
      </c>
      <c r="C42" s="5" t="s">
        <v>153</v>
      </c>
      <c r="D42" s="6">
        <v>133</v>
      </c>
      <c r="E42" s="7" t="s">
        <v>54</v>
      </c>
      <c r="F42" s="7">
        <v>115</v>
      </c>
      <c r="G42" s="7"/>
      <c r="H42" s="7"/>
      <c r="I42" s="7"/>
      <c r="J42" s="7" t="s">
        <v>31</v>
      </c>
      <c r="K42" s="7" t="s">
        <v>32</v>
      </c>
      <c r="L42" s="7"/>
      <c r="M42" s="7"/>
      <c r="N42" s="17" t="s">
        <v>38</v>
      </c>
      <c r="O42" s="6">
        <v>2000</v>
      </c>
      <c r="P42" s="6"/>
      <c r="Q42" s="6">
        <v>0</v>
      </c>
      <c r="R42" s="6"/>
      <c r="S42" s="17" t="s">
        <v>39</v>
      </c>
      <c r="T42" s="6">
        <v>2000</v>
      </c>
      <c r="U42" s="6"/>
      <c r="V42" s="6">
        <v>4</v>
      </c>
      <c r="W42" s="6"/>
      <c r="X42" s="17" t="s">
        <v>40</v>
      </c>
      <c r="Y42" s="6">
        <v>2000</v>
      </c>
      <c r="Z42" s="6"/>
      <c r="AA42" s="6">
        <v>0</v>
      </c>
      <c r="AB42" s="6"/>
      <c r="AC42" s="17" t="s">
        <v>41</v>
      </c>
      <c r="AD42" s="6">
        <v>2000</v>
      </c>
      <c r="AE42" s="6"/>
      <c r="AF42" s="6">
        <v>4</v>
      </c>
      <c r="AG42" s="6"/>
    </row>
    <row r="43" spans="1:33" s="8" customFormat="1" x14ac:dyDescent="0.25">
      <c r="A43" s="7" t="s">
        <v>51</v>
      </c>
      <c r="B43" s="5">
        <v>155180</v>
      </c>
      <c r="C43" s="5" t="s">
        <v>153</v>
      </c>
      <c r="D43" s="6">
        <v>135</v>
      </c>
      <c r="E43" s="7" t="s">
        <v>54</v>
      </c>
      <c r="F43" s="7">
        <v>115</v>
      </c>
      <c r="G43" s="7"/>
      <c r="H43" s="7"/>
      <c r="I43" s="7"/>
      <c r="J43" s="7" t="s">
        <v>31</v>
      </c>
      <c r="K43" s="7" t="s">
        <v>32</v>
      </c>
      <c r="L43" s="7"/>
      <c r="M43" s="7"/>
      <c r="N43" s="17" t="s">
        <v>38</v>
      </c>
      <c r="O43" s="6">
        <v>2000</v>
      </c>
      <c r="P43" s="6"/>
      <c r="Q43" s="6">
        <v>0</v>
      </c>
      <c r="R43" s="6"/>
      <c r="S43" s="17" t="s">
        <v>39</v>
      </c>
      <c r="T43" s="6">
        <v>2000</v>
      </c>
      <c r="U43" s="6"/>
      <c r="V43" s="6">
        <v>4</v>
      </c>
      <c r="W43" s="6"/>
      <c r="X43" s="17" t="s">
        <v>40</v>
      </c>
      <c r="Y43" s="6">
        <v>2000</v>
      </c>
      <c r="Z43" s="6"/>
      <c r="AA43" s="6">
        <v>0</v>
      </c>
      <c r="AB43" s="6"/>
      <c r="AC43" s="17" t="s">
        <v>41</v>
      </c>
      <c r="AD43" s="6">
        <v>2000</v>
      </c>
      <c r="AE43" s="6"/>
      <c r="AF43" s="6">
        <v>4</v>
      </c>
      <c r="AG43" s="6"/>
    </row>
    <row r="44" spans="1:33" s="8" customFormat="1" x14ac:dyDescent="0.25">
      <c r="A44" s="7"/>
      <c r="B44" s="5">
        <v>155181</v>
      </c>
      <c r="C44" s="5" t="s">
        <v>153</v>
      </c>
      <c r="D44" s="6">
        <v>137</v>
      </c>
      <c r="E44" s="7" t="s">
        <v>54</v>
      </c>
      <c r="F44" s="7">
        <v>115</v>
      </c>
      <c r="G44" s="7"/>
      <c r="H44" s="7"/>
      <c r="I44" s="7"/>
      <c r="J44" s="7" t="s">
        <v>31</v>
      </c>
      <c r="K44" s="7" t="s">
        <v>32</v>
      </c>
      <c r="L44" s="7"/>
      <c r="M44" s="7"/>
      <c r="N44" s="17" t="s">
        <v>38</v>
      </c>
      <c r="O44" s="6">
        <v>600</v>
      </c>
      <c r="P44" s="6"/>
      <c r="Q44" s="6">
        <v>0</v>
      </c>
      <c r="R44" s="6"/>
      <c r="S44" s="17" t="s">
        <v>39</v>
      </c>
      <c r="T44" s="6">
        <v>600</v>
      </c>
      <c r="U44" s="6"/>
      <c r="V44" s="6">
        <v>4</v>
      </c>
      <c r="W44" s="6"/>
      <c r="X44" s="17" t="s">
        <v>40</v>
      </c>
      <c r="Y44" s="6">
        <v>600</v>
      </c>
      <c r="Z44" s="6"/>
      <c r="AA44" s="6">
        <v>0</v>
      </c>
      <c r="AB44" s="6"/>
      <c r="AC44" s="17" t="s">
        <v>41</v>
      </c>
      <c r="AD44" s="6">
        <v>600</v>
      </c>
      <c r="AE44" s="6"/>
      <c r="AF44" s="6">
        <v>4</v>
      </c>
      <c r="AG44" s="6"/>
    </row>
    <row r="45" spans="1:33" s="8" customFormat="1" x14ac:dyDescent="0.25">
      <c r="A45" s="7"/>
      <c r="B45" s="5">
        <v>155182</v>
      </c>
      <c r="C45" s="5" t="s">
        <v>153</v>
      </c>
      <c r="D45" s="6">
        <v>139</v>
      </c>
      <c r="E45" s="7" t="s">
        <v>54</v>
      </c>
      <c r="F45" s="7">
        <v>115</v>
      </c>
      <c r="G45" s="7"/>
      <c r="H45" s="7"/>
      <c r="I45" s="7"/>
      <c r="J45" s="7" t="s">
        <v>31</v>
      </c>
      <c r="K45" s="7" t="s">
        <v>32</v>
      </c>
      <c r="L45" s="7"/>
      <c r="M45" s="7"/>
      <c r="N45" s="17" t="s">
        <v>38</v>
      </c>
      <c r="O45" s="6">
        <v>600</v>
      </c>
      <c r="P45" s="6"/>
      <c r="Q45" s="6">
        <v>0</v>
      </c>
      <c r="R45" s="6"/>
      <c r="S45" s="17" t="s">
        <v>39</v>
      </c>
      <c r="T45" s="6">
        <v>600</v>
      </c>
      <c r="U45" s="6"/>
      <c r="V45" s="6">
        <v>4</v>
      </c>
      <c r="W45" s="6"/>
      <c r="X45" s="17" t="s">
        <v>40</v>
      </c>
      <c r="Y45" s="6">
        <v>600</v>
      </c>
      <c r="Z45" s="6"/>
      <c r="AA45" s="6">
        <v>0</v>
      </c>
      <c r="AB45" s="6"/>
      <c r="AC45" s="17" t="s">
        <v>41</v>
      </c>
      <c r="AD45" s="6">
        <v>600</v>
      </c>
      <c r="AE45" s="6"/>
      <c r="AF45" s="6">
        <v>4</v>
      </c>
      <c r="AG45" s="6"/>
    </row>
    <row r="46" spans="1:33" s="8" customFormat="1" x14ac:dyDescent="0.25">
      <c r="A46" s="7" t="s">
        <v>51</v>
      </c>
      <c r="B46" s="5">
        <v>166652</v>
      </c>
      <c r="C46" s="5" t="s">
        <v>153</v>
      </c>
      <c r="D46" s="6" t="s">
        <v>144</v>
      </c>
      <c r="E46" s="7" t="s">
        <v>61</v>
      </c>
      <c r="F46" s="7">
        <v>115</v>
      </c>
      <c r="G46" s="7"/>
      <c r="H46" s="7"/>
      <c r="I46" s="7"/>
      <c r="J46" s="7" t="s">
        <v>31</v>
      </c>
      <c r="K46" s="7" t="s">
        <v>32</v>
      </c>
      <c r="L46" s="7"/>
      <c r="M46" s="7"/>
      <c r="N46" s="17" t="s">
        <v>38</v>
      </c>
      <c r="O46" s="6">
        <v>400</v>
      </c>
      <c r="P46" s="6"/>
      <c r="Q46" s="6">
        <v>0</v>
      </c>
      <c r="R46" s="6"/>
      <c r="S46" s="17" t="s">
        <v>39</v>
      </c>
      <c r="T46" s="6">
        <v>400</v>
      </c>
      <c r="U46" s="6"/>
      <c r="V46" s="6">
        <v>4</v>
      </c>
      <c r="W46" s="6"/>
      <c r="X46" s="17" t="s">
        <v>40</v>
      </c>
      <c r="Y46" s="6">
        <v>400</v>
      </c>
      <c r="Z46" s="6"/>
      <c r="AA46" s="6">
        <v>0</v>
      </c>
      <c r="AB46" s="6"/>
      <c r="AC46" s="17" t="s">
        <v>41</v>
      </c>
      <c r="AD46" s="6">
        <v>400</v>
      </c>
      <c r="AE46" s="6"/>
      <c r="AF46" s="6">
        <v>4</v>
      </c>
      <c r="AG46" s="6"/>
    </row>
    <row r="47" spans="1:33" s="8" customFormat="1" x14ac:dyDescent="0.25">
      <c r="A47" s="7" t="s">
        <v>51</v>
      </c>
      <c r="B47" s="5">
        <v>166650</v>
      </c>
      <c r="C47" s="5" t="s">
        <v>153</v>
      </c>
      <c r="D47" s="6" t="s">
        <v>145</v>
      </c>
      <c r="E47" s="7" t="s">
        <v>64</v>
      </c>
      <c r="F47" s="7">
        <v>115</v>
      </c>
      <c r="G47" s="7"/>
      <c r="H47" s="7"/>
      <c r="I47" s="7"/>
      <c r="J47" s="7" t="s">
        <v>31</v>
      </c>
      <c r="K47" s="7" t="s">
        <v>32</v>
      </c>
      <c r="L47" s="7" t="s">
        <v>114</v>
      </c>
      <c r="M47" s="7"/>
      <c r="N47" s="17" t="s">
        <v>38</v>
      </c>
      <c r="O47" s="6">
        <v>725</v>
      </c>
      <c r="P47" s="6"/>
      <c r="Q47" s="6">
        <v>0</v>
      </c>
      <c r="R47" s="6"/>
      <c r="S47" s="17" t="s">
        <v>39</v>
      </c>
      <c r="T47" s="6">
        <v>835</v>
      </c>
      <c r="U47" s="6"/>
      <c r="V47" s="6">
        <v>4</v>
      </c>
      <c r="W47" s="6"/>
      <c r="X47" s="17" t="s">
        <v>40</v>
      </c>
      <c r="Y47" s="6">
        <v>1005</v>
      </c>
      <c r="Z47" s="6"/>
      <c r="AA47" s="6">
        <v>0</v>
      </c>
      <c r="AB47" s="6"/>
      <c r="AC47" s="17" t="s">
        <v>41</v>
      </c>
      <c r="AD47" s="6">
        <v>1100</v>
      </c>
      <c r="AE47" s="6"/>
      <c r="AF47" s="6">
        <v>4</v>
      </c>
      <c r="AG47" s="6"/>
    </row>
    <row r="48" spans="1:33" s="8" customFormat="1" x14ac:dyDescent="0.25">
      <c r="A48" s="7" t="s">
        <v>51</v>
      </c>
      <c r="B48" s="5">
        <v>166653</v>
      </c>
      <c r="C48" s="5" t="s">
        <v>153</v>
      </c>
      <c r="D48" s="6" t="s">
        <v>144</v>
      </c>
      <c r="E48" s="7" t="s">
        <v>67</v>
      </c>
      <c r="F48" s="7">
        <v>115</v>
      </c>
      <c r="G48" s="7"/>
      <c r="H48" s="7"/>
      <c r="I48" s="7"/>
      <c r="J48" s="7" t="s">
        <v>31</v>
      </c>
      <c r="K48" s="7" t="s">
        <v>32</v>
      </c>
      <c r="L48" s="7"/>
      <c r="M48" s="7"/>
      <c r="N48" s="17" t="s">
        <v>38</v>
      </c>
      <c r="O48" s="6">
        <v>400</v>
      </c>
      <c r="P48" s="6"/>
      <c r="Q48" s="6">
        <v>0</v>
      </c>
      <c r="R48" s="6">
        <v>27</v>
      </c>
      <c r="S48" s="17" t="s">
        <v>39</v>
      </c>
      <c r="T48" s="6">
        <v>400</v>
      </c>
      <c r="U48" s="6"/>
      <c r="V48" s="6">
        <v>4</v>
      </c>
      <c r="W48" s="6">
        <v>27</v>
      </c>
      <c r="X48" s="17" t="s">
        <v>40</v>
      </c>
      <c r="Y48" s="6">
        <v>400</v>
      </c>
      <c r="Z48" s="6"/>
      <c r="AA48" s="6">
        <v>0</v>
      </c>
      <c r="AB48" s="6">
        <v>27</v>
      </c>
      <c r="AC48" s="17" t="s">
        <v>41</v>
      </c>
      <c r="AD48" s="6">
        <v>400</v>
      </c>
      <c r="AE48" s="6"/>
      <c r="AF48" s="6">
        <v>4</v>
      </c>
      <c r="AG48" s="6">
        <v>27</v>
      </c>
    </row>
    <row r="49" spans="1:33" ht="33.75" x14ac:dyDescent="0.5">
      <c r="A49" s="24" t="s">
        <v>116</v>
      </c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</row>
    <row r="52" spans="1:33" x14ac:dyDescent="0.25">
      <c r="A52" s="9"/>
    </row>
    <row r="53" spans="1:33" x14ac:dyDescent="0.25">
      <c r="A53" s="10"/>
    </row>
    <row r="54" spans="1:33" x14ac:dyDescent="0.25">
      <c r="A54" s="11"/>
    </row>
    <row r="55" spans="1:33" x14ac:dyDescent="0.25">
      <c r="A55" s="12"/>
    </row>
    <row r="56" spans="1:33" x14ac:dyDescent="0.25">
      <c r="A56" s="13"/>
    </row>
    <row r="57" spans="1:33" x14ac:dyDescent="0.25">
      <c r="A57" s="14"/>
    </row>
    <row r="58" spans="1:33" x14ac:dyDescent="0.25">
      <c r="A58" s="15"/>
    </row>
  </sheetData>
  <autoFilter ref="A1:AG58" xr:uid="{871FFA1A-D477-4962-826C-C6AAB34907EC}"/>
  <mergeCells count="1">
    <mergeCell ref="A49:AG49"/>
  </mergeCells>
  <phoneticPr fontId="8" type="noConversion"/>
  <conditionalFormatting sqref="A42 J30:J32 K30:K36 L30:U33 W29:AE33 A13:A14 A17:B17 B14:U14 A8:U12 A33:J33 A29:U29 A35:J36 A30:I31 C17:U19 AG8:AG12 AG35:AG36 AG16:AG19 AG29:AG33">
    <cfRule type="expression" dxfId="128" priority="894">
      <formula>$A8="Previously Submitted"</formula>
    </cfRule>
    <cfRule type="expression" dxfId="127" priority="895">
      <formula>$A8="Verification"</formula>
    </cfRule>
  </conditionalFormatting>
  <conditionalFormatting sqref="A43">
    <cfRule type="expression" dxfId="124" priority="887">
      <formula>$A43="Previously Submitted"</formula>
    </cfRule>
    <cfRule type="expression" dxfId="123" priority="888">
      <formula>$A43="Verification"</formula>
    </cfRule>
    <cfRule type="expression" dxfId="122" priority="889">
      <formula>$A43 = "Retire"</formula>
    </cfRule>
    <cfRule type="expression" dxfId="121" priority="890">
      <formula>$A43 = "Update"</formula>
    </cfRule>
    <cfRule type="expression" dxfId="120" priority="891">
      <formula>$A43 = "Create"</formula>
    </cfRule>
  </conditionalFormatting>
  <conditionalFormatting sqref="W37:AE38 A13:A14 C18:U19 A37:U38 AG37:AG38">
    <cfRule type="expression" dxfId="118" priority="2183">
      <formula>$A13 = "Update"</formula>
    </cfRule>
    <cfRule type="expression" dxfId="117" priority="2184">
      <formula>$A13 = "Create"</formula>
    </cfRule>
  </conditionalFormatting>
  <conditionalFormatting sqref="A18:B22">
    <cfRule type="expression" dxfId="116" priority="1">
      <formula>$A18="Previously Submitted"</formula>
    </cfRule>
    <cfRule type="expression" dxfId="115" priority="2">
      <formula>$A18 = "Retire"</formula>
    </cfRule>
    <cfRule type="expression" dxfId="114" priority="3">
      <formula>$A18 = "Update"</formula>
    </cfRule>
    <cfRule type="expression" dxfId="113" priority="4">
      <formula>$A18 = "Create"</formula>
    </cfRule>
    <cfRule type="expression" dxfId="111" priority="7">
      <formula>$A18="Verification"</formula>
    </cfRule>
  </conditionalFormatting>
  <conditionalFormatting sqref="K6:U6 V4:V48 AF4:AF48 A49 AG20:AG22 W20:AE28 L34:U36 W34:AE48 A23:B28 A6:I6 A4:U5 A7:U7 A13:U13 A34:J34 A15:U15 A37:U41 A44:U48 C20:U28 AG25:AG28 AG37:AG40 AG44:AG48 AG4:AG7 A2:AG3 A50:AG203 AG13:AG15 AG34">
    <cfRule type="expression" dxfId="109" priority="3623">
      <formula>$A2="Verification"</formula>
    </cfRule>
  </conditionalFormatting>
  <conditionalFormatting sqref="A32:I32 B42:U43 AG41:AG43">
    <cfRule type="expression" dxfId="108" priority="492">
      <formula>$A32="Previously Submitted"</formula>
    </cfRule>
    <cfRule type="expression" dxfId="107" priority="493">
      <formula>$A32="Verification"</formula>
    </cfRule>
    <cfRule type="expression" dxfId="106" priority="494">
      <formula>$A32 = "Retire"</formula>
    </cfRule>
    <cfRule type="expression" dxfId="105" priority="495">
      <formula>$A32 = "Update"</formula>
    </cfRule>
    <cfRule type="expression" dxfId="104" priority="496">
      <formula>$A32 = "Create"</formula>
    </cfRule>
  </conditionalFormatting>
  <conditionalFormatting sqref="V4:V48 AF4:AF48 K6:U6 W39:AE40 AG39:AG40 A49 W4:AE19 L30:U31 O32 T32 W32:AE36 J30:J32 K30:K36 A35:J36 A4:U5 A6:I6 A15:U15 A16:N16 A39:U40 A30:I31 A44:U48 A7:U7 A13:U13 A17:U17 B14:U14 AG4:AG7 AG13:AG19 AG44:AG48 A50:AG203 A2:AG3 AG29:AG36">
    <cfRule type="expression" dxfId="103" priority="39">
      <formula>$A2 = "Retire"</formula>
    </cfRule>
    <cfRule type="expression" dxfId="102" priority="40">
      <formula>$A2 = "Update"</formula>
    </cfRule>
    <cfRule type="expression" dxfId="101" priority="41">
      <formula>$A2 = "Create"</formula>
    </cfRule>
  </conditionalFormatting>
  <conditionalFormatting sqref="A49 V4:V48 AF4:AF48 L34:U36 W34:AE36 W4:AE28 A16:N16 A34:J34 A44:U48 A15:U15 A4:U7 A13:U13 A23:U28 A37:U40 AG13:AG14 AG37:AG40 AG4:AG7 AG44:AG48 A50:AG203 A2:AG3 AG34 AG27:AG28">
    <cfRule type="expression" dxfId="100" priority="706">
      <formula>$A2="Previously Submitted"</formula>
    </cfRule>
  </conditionalFormatting>
  <conditionalFormatting sqref="A16:N16">
    <cfRule type="expression" dxfId="99" priority="707">
      <formula>$A16="Verification"</formula>
    </cfRule>
  </conditionalFormatting>
  <conditionalFormatting sqref="A42 W20:AE24 A23:B29 A8:U12 A33:J34 C20:U29 AG8:AG12 AG20:AG24 AG27:AG28">
    <cfRule type="expression" dxfId="97" priority="898">
      <formula>$A8 = "Create"</formula>
    </cfRule>
  </conditionalFormatting>
  <conditionalFormatting sqref="A42 A8:U12 A33:J34 A23:U29 AG8:AG12 AG27:AG28">
    <cfRule type="expression" dxfId="96" priority="896">
      <formula>$A8 = "Retire"</formula>
    </cfRule>
    <cfRule type="expression" dxfId="95" priority="897">
      <formula>$A8 = "Update"</formula>
    </cfRule>
  </conditionalFormatting>
  <conditionalFormatting sqref="W37:AE38 A13:A14 A37:U38 C18:U19 AG37:AG38">
    <cfRule type="expression" dxfId="93" priority="407">
      <formula>$A13 = "Retire"</formula>
    </cfRule>
  </conditionalFormatting>
  <conditionalFormatting sqref="A41:U41 AG25:AG26">
    <cfRule type="expression" dxfId="92" priority="901">
      <formula>$A25="Previously Submitted"</formula>
    </cfRule>
    <cfRule type="expression" dxfId="91" priority="903">
      <formula>$A25 = "Retire"</formula>
    </cfRule>
    <cfRule type="expression" dxfId="90" priority="904">
      <formula>$A25 = "Update"</formula>
    </cfRule>
    <cfRule type="expression" dxfId="89" priority="905">
      <formula>$A25 = "Create"</formula>
    </cfRule>
  </conditionalFormatting>
  <conditionalFormatting sqref="AG20:AG22 C20:U22">
    <cfRule type="expression" dxfId="87" priority="59">
      <formula>$A20="Previously Submitted"</formula>
    </cfRule>
    <cfRule type="expression" dxfId="86" priority="61">
      <formula>$A20 = "Retire"</formula>
    </cfRule>
    <cfRule type="expression" dxfId="85" priority="62">
      <formula>$A20 = "Update"</formula>
    </cfRule>
  </conditionalFormatting>
  <conditionalFormatting sqref="J6">
    <cfRule type="expression" dxfId="81" priority="645">
      <formula>$A6="Verification"</formula>
    </cfRule>
    <cfRule type="expression" dxfId="80" priority="646">
      <formula>$A6 = "Retire"</formula>
    </cfRule>
    <cfRule type="expression" dxfId="79" priority="647">
      <formula>$A6 = "Update"</formula>
    </cfRule>
    <cfRule type="expression" dxfId="78" priority="648">
      <formula>$A6 = "Create"</formula>
    </cfRule>
  </conditionalFormatting>
  <conditionalFormatting sqref="L32:U32">
    <cfRule type="expression" dxfId="74" priority="3646">
      <formula>$A32 = "Retire"</formula>
    </cfRule>
    <cfRule type="expression" dxfId="73" priority="3647">
      <formula>$A32 = "Update"</formula>
    </cfRule>
    <cfRule type="expression" dxfId="72" priority="3648">
      <formula>$A32 = "Create"</formula>
    </cfRule>
  </conditionalFormatting>
  <conditionalFormatting sqref="L33:U36">
    <cfRule type="expression" dxfId="71" priority="17">
      <formula>$A33 = "Retire"</formula>
    </cfRule>
    <cfRule type="expression" dxfId="70" priority="18">
      <formula>$A33 = "Update"</formula>
    </cfRule>
    <cfRule type="expression" dxfId="69" priority="19">
      <formula>$A33 = "Create"</formula>
    </cfRule>
  </conditionalFormatting>
  <conditionalFormatting sqref="O16:U16">
    <cfRule type="expression" dxfId="66" priority="454">
      <formula>$A16 = "Retire"</formula>
    </cfRule>
    <cfRule type="expression" dxfId="65" priority="455">
      <formula>$A16 = "Update"</formula>
    </cfRule>
    <cfRule type="expression" dxfId="64" priority="456">
      <formula>$A16 = "Create"</formula>
    </cfRule>
  </conditionalFormatting>
  <conditionalFormatting sqref="O16:U16">
    <cfRule type="expression" dxfId="63" priority="452">
      <formula>$A16="Previously Submitted"</formula>
    </cfRule>
    <cfRule type="expression" dxfId="62" priority="453">
      <formula>$A16="Verification"</formula>
    </cfRule>
  </conditionalFormatting>
  <conditionalFormatting sqref="W4:AE19">
    <cfRule type="expression" dxfId="61" priority="436">
      <formula>$A4="Verification"</formula>
    </cfRule>
  </conditionalFormatting>
  <conditionalFormatting sqref="W20:AE27">
    <cfRule type="expression" dxfId="58" priority="23">
      <formula>$A20 = "Retire"</formula>
    </cfRule>
    <cfRule type="expression" dxfId="57" priority="24">
      <formula>$A20 = "Update"</formula>
    </cfRule>
  </conditionalFormatting>
  <conditionalFormatting sqref="W25:AE27">
    <cfRule type="expression" dxfId="56" priority="25">
      <formula>$A25 = "Create"</formula>
    </cfRule>
  </conditionalFormatting>
  <conditionalFormatting sqref="W28:AE31">
    <cfRule type="expression" dxfId="54" priority="82">
      <formula>$A28 = "Retire"</formula>
    </cfRule>
    <cfRule type="expression" dxfId="53" priority="83">
      <formula>$A28 = "Update"</formula>
    </cfRule>
    <cfRule type="expression" dxfId="52" priority="84">
      <formula>$A28 = "Create"</formula>
    </cfRule>
  </conditionalFormatting>
  <conditionalFormatting sqref="W37:AE48">
    <cfRule type="expression" dxfId="51" priority="390">
      <formula>$A37="Previously Submitted"</formula>
    </cfRule>
  </conditionalFormatting>
  <conditionalFormatting sqref="W41:AE48">
    <cfRule type="expression" dxfId="50" priority="392">
      <formula>$A41 = "Retire"</formula>
    </cfRule>
    <cfRule type="expression" dxfId="49" priority="393">
      <formula>$A41 = "Update"</formula>
    </cfRule>
    <cfRule type="expression" dxfId="48" priority="394">
      <formula>$A41 = "Create"</formula>
    </cfRule>
  </conditionalFormatting>
  <conditionalFormatting sqref="AG15">
    <cfRule type="expression" dxfId="42" priority="632">
      <formula>$A15="Previously Submitted"</formula>
    </cfRule>
  </conditionalFormatting>
  <conditionalFormatting sqref="AG23:AG24">
    <cfRule type="expression" dxfId="41" priority="589">
      <formula>$A23="Previously Submitted"</formula>
    </cfRule>
    <cfRule type="expression" dxfId="40" priority="590">
      <formula>$A23="Verification"</formula>
    </cfRule>
    <cfRule type="expression" dxfId="39" priority="591">
      <formula>$A23 = "Retire"</formula>
    </cfRule>
    <cfRule type="expression" dxfId="38" priority="592">
      <formula>$A23 = "Update"</formula>
    </cfRule>
  </conditionalFormatting>
  <printOptions horizontalCentered="1"/>
  <pageMargins left="0.5" right="0.5" top="0.5" bottom="0.5" header="0.3" footer="0.3"/>
  <pageSetup paperSize="17" scale="32" orientation="landscape" horizontalDpi="4294967295" verticalDpi="4294967295" r:id="rId1"/>
  <headerFooter>
    <oddHeader>&amp;L&amp;18&amp;F</oddHead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05" operator="containsText" id="{45A9F315-0A54-4AD2-A565-6F0ADDDAFC62}">
            <xm:f>NOT(ISERROR(SEARCH(#REF! = "Create",A2)))</xm:f>
            <xm:f>#REF! = "Create"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A16 A44:A48 A37:A40 A17:B17 A23:B29 A13:C15 A7:N7 B36:J36 A30:J35 B37:U48 A2:AG3 C17:U29</xm:sqref>
        </x14:conditionalFormatting>
        <x14:conditionalFormatting xmlns:xm="http://schemas.microsoft.com/office/excel/2006/main">
          <x14:cfRule type="containsText" priority="103" operator="containsText" id="{4CC8B0FF-736C-483B-8712-83F038D53198}">
            <xm:f>NOT(ISERROR(SEARCH(#REF! = "Create",A34)))</xm:f>
            <xm:f>#REF! = "Create"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A34:A35</xm:sqref>
        </x14:conditionalFormatting>
        <x14:conditionalFormatting xmlns:xm="http://schemas.microsoft.com/office/excel/2006/main">
          <x14:cfRule type="containsText" priority="899" operator="containsText" id="{FB98A16B-3BB5-43FD-A97F-818EDB1167FC}">
            <xm:f>NOT(ISERROR(SEARCH(#REF! = "Create",A41)))</xm:f>
            <xm:f>#REF! = "Create"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A41:A42</xm:sqref>
        </x14:conditionalFormatting>
        <x14:conditionalFormatting xmlns:xm="http://schemas.microsoft.com/office/excel/2006/main">
          <x14:cfRule type="containsText" priority="892" operator="containsText" id="{08D24225-3CD3-46C1-B7CA-27324B2CB474}">
            <xm:f>NOT(ISERROR(SEARCH(#REF! = "Create",A42)))</xm:f>
            <xm:f>#REF! = "Create"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A42:A43</xm:sqref>
        </x14:conditionalFormatting>
        <x14:conditionalFormatting xmlns:xm="http://schemas.microsoft.com/office/excel/2006/main">
          <x14:cfRule type="containsText" priority="886" operator="containsText" id="{27544C83-E7F2-4406-AEFA-2037DE785C2B}">
            <xm:f>NOT(ISERROR(SEARCH(#REF! = "Create",A43)))</xm:f>
            <xm:f>#REF! = "Create"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A43</xm:sqref>
        </x14:conditionalFormatting>
        <x14:conditionalFormatting xmlns:xm="http://schemas.microsoft.com/office/excel/2006/main">
          <x14:cfRule type="containsText" priority="3749" operator="containsText" id="{7488B075-9535-4F82-8570-28865303784C}">
            <xm:f>NOT(ISERROR(SEARCH(#REF! = "Create",A49)))</xm:f>
            <xm:f>#REF! = "Create"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A49</xm:sqref>
        </x14:conditionalFormatting>
        <x14:conditionalFormatting xmlns:xm="http://schemas.microsoft.com/office/excel/2006/main">
          <x14:cfRule type="containsText" priority="5" operator="containsText" id="{B0D23302-BBD6-464E-8E34-FD775A04BC97}">
            <xm:f>NOT(ISERROR(SEARCH(#REF! = "Create",A18)))</xm:f>
            <xm:f>#REF! = "Create"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A18:B22</xm:sqref>
        </x14:conditionalFormatting>
        <x14:conditionalFormatting xmlns:xm="http://schemas.microsoft.com/office/excel/2006/main">
          <x14:cfRule type="containsText" priority="3714" operator="containsText" id="{CE41513F-1D23-4A82-85E6-1485BE633CB2}">
            <xm:f>NOT(ISERROR(SEARCH(#REF! = "Create",P7)))</xm:f>
            <xm:f>#REF! = "Create"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P7:S7 U7 W7:X7 Z7:AC7 AE7 AG7</xm:sqref>
        </x14:conditionalFormatting>
        <x14:conditionalFormatting xmlns:xm="http://schemas.microsoft.com/office/excel/2006/main">
          <x14:cfRule type="containsText" priority="711" operator="containsText" id="{B3A835BD-7B80-4EA7-BC9E-ACC20D003BF1}">
            <xm:f>NOT(ISERROR(SEARCH(#REF! = "Create",A16)))</xm:f>
            <xm:f>#REF! = "Create"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A16:N16</xm:sqref>
        </x14:conditionalFormatting>
        <x14:conditionalFormatting xmlns:xm="http://schemas.microsoft.com/office/excel/2006/main">
          <x14:cfRule type="containsText" priority="541" operator="containsText" id="{5C56509C-6A8B-4925-A120-74C62F308A81}">
            <xm:f>NOT(ISERROR(SEARCH(#REF! = "Create",W37)))</xm:f>
            <xm:f>#REF! = "Create"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AG37:AG38 W37:AE48</xm:sqref>
        </x14:conditionalFormatting>
        <x14:conditionalFormatting xmlns:xm="http://schemas.microsoft.com/office/excel/2006/main">
          <x14:cfRule type="containsText" priority="914" operator="containsText" id="{712FE043-DCCD-4E70-ACCE-6AFA56FB3B54}">
            <xm:f>NOT(ISERROR(SEARCH(#REF! = "Create",AG44)))</xm:f>
            <xm:f>#REF! = "Create"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AG44:AG48</xm:sqref>
        </x14:conditionalFormatting>
        <x14:conditionalFormatting xmlns:xm="http://schemas.microsoft.com/office/excel/2006/main">
          <x14:cfRule type="containsText" priority="2091" operator="containsText" id="{E7C68CCE-4058-42BB-BB43-F99F317D1F86}">
            <xm:f>NOT(ISERROR(SEARCH(#REF! = "Create",C6)))</xm:f>
            <xm:f>#REF! = "Create"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C6</xm:sqref>
        </x14:conditionalFormatting>
        <x14:conditionalFormatting xmlns:xm="http://schemas.microsoft.com/office/excel/2006/main">
          <x14:cfRule type="containsText" priority="3750" operator="containsText" id="{09128B54-240B-4FCF-A08E-177D342326A8}">
            <xm:f>NOT(ISERROR(SEARCH(#REF! = "Create",D13)))</xm:f>
            <xm:f>#REF! = "Create"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D13:D15</xm:sqref>
        </x14:conditionalFormatting>
        <x14:conditionalFormatting xmlns:xm="http://schemas.microsoft.com/office/excel/2006/main">
          <x14:cfRule type="containsText" priority="3709" operator="containsText" id="{67C0A620-AECF-47AF-8468-B3195BB5E76F}">
            <xm:f>NOT(ISERROR(SEARCH(#REF! = "Create",E13)))</xm:f>
            <xm:f>#REF! = "Create"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E13:U15 AG13:AG15</xm:sqref>
        </x14:conditionalFormatting>
        <x14:conditionalFormatting xmlns:xm="http://schemas.microsoft.com/office/excel/2006/main">
          <x14:cfRule type="containsText" priority="649" operator="containsText" id="{95748707-21A2-4BE8-A258-A1C41FEBA0DC}">
            <xm:f>NOT(ISERROR(SEARCH(#REF! = "Create",J6)))</xm:f>
            <xm:f>#REF! = "Create"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J6</xm:sqref>
        </x14:conditionalFormatting>
        <x14:conditionalFormatting xmlns:xm="http://schemas.microsoft.com/office/excel/2006/main">
          <x14:cfRule type="containsText" priority="2089" operator="containsText" id="{D3E4C6A9-5993-4D09-B102-AF72425B93E2}">
            <xm:f>NOT(ISERROR(SEARCH(#REF! = "Create",L6)))</xm:f>
            <xm:f>#REF! = "Create"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L6</xm:sqref>
        </x14:conditionalFormatting>
        <x14:conditionalFormatting xmlns:xm="http://schemas.microsoft.com/office/excel/2006/main">
          <x14:cfRule type="containsText" priority="1659" operator="containsText" id="{553994A2-B915-4685-9D07-000E0761EC98}">
            <xm:f>NOT(ISERROR(SEARCH(#REF! = "Create",L30)))</xm:f>
            <xm:f>#REF! = "Create"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L30:L31</xm:sqref>
        </x14:conditionalFormatting>
        <x14:conditionalFormatting xmlns:xm="http://schemas.microsoft.com/office/excel/2006/main">
          <x14:cfRule type="containsText" priority="3660" operator="containsText" id="{72201122-86E1-4D88-BB00-E654D1CBD596}">
            <xm:f>NOT(ISERROR(SEARCH(#REF! = "Create",M30)))</xm:f>
            <xm:f>#REF! = "Create"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M30:U30</xm:sqref>
        </x14:conditionalFormatting>
        <x14:conditionalFormatting xmlns:xm="http://schemas.microsoft.com/office/excel/2006/main">
          <x14:cfRule type="containsText" priority="2087" operator="containsText" id="{F958C103-2D02-4A73-A4F4-DF9C79D19DCC}">
            <xm:f>NOT(ISERROR(SEARCH(#REF! = "Create",N6)))</xm:f>
            <xm:f>#REF! = "Create"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N6</xm:sqref>
        </x14:conditionalFormatting>
        <x14:conditionalFormatting xmlns:xm="http://schemas.microsoft.com/office/excel/2006/main">
          <x14:cfRule type="containsText" priority="457" operator="containsText" id="{8388DC33-E7B9-469A-B94A-A31E1D4E2E61}">
            <xm:f>NOT(ISERROR(SEARCH(#REF! = "Create",O13)))</xm:f>
            <xm:f>#REF! = "Create"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W13:AE16 O16:U16 AG16</xm:sqref>
        </x14:conditionalFormatting>
        <x14:conditionalFormatting xmlns:xm="http://schemas.microsoft.com/office/excel/2006/main">
          <x14:cfRule type="containsText" priority="64" operator="containsText" id="{56947E38-4C9A-44F6-93DA-F73CACD0AF73}">
            <xm:f>NOT(ISERROR(SEARCH(#REF! = "Create",W17)))</xm:f>
            <xm:f>#REF! = "Create"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W17:AE22 AG17:AG22</xm:sqref>
        </x14:conditionalFormatting>
        <x14:conditionalFormatting xmlns:xm="http://schemas.microsoft.com/office/excel/2006/main">
          <x14:cfRule type="containsText" priority="95" operator="containsText" id="{447F6738-5C35-4E59-B0CE-5AD785BBDA1C}">
            <xm:f>NOT(ISERROR(SEARCH(#REF! = "Create",L26)))</xm:f>
            <xm:f>#REF! = "Create"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W26:AE36 L31:U36 AG31:AG36</xm:sqref>
        </x14:conditionalFormatting>
        <x14:conditionalFormatting xmlns:xm="http://schemas.microsoft.com/office/excel/2006/main">
          <x14:cfRule type="containsText" priority="742" operator="containsText" id="{19D8D9C3-6599-4DB5-8D4E-3B11A8B755A7}">
            <xm:f>NOT(ISERROR(SEARCH(#REF! = "Create",AG23)))</xm:f>
            <xm:f>#REF! = "Create"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AG23:AG24</xm:sqref>
        </x14:conditionalFormatting>
        <x14:conditionalFormatting xmlns:xm="http://schemas.microsoft.com/office/excel/2006/main">
          <x14:cfRule type="containsText" priority="224" operator="containsText" id="{E29F3F09-4C99-4219-97DF-904C53700C5D}">
            <xm:f>NOT(ISERROR(SEARCH(#REF! = "Create",W23)))</xm:f>
            <xm:f>#REF! = "Create"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AG25 W23:AE25</xm:sqref>
        </x14:conditionalFormatting>
        <x14:conditionalFormatting xmlns:xm="http://schemas.microsoft.com/office/excel/2006/main">
          <x14:cfRule type="containsText" priority="196" operator="containsText" id="{09922D6A-056B-496B-B56B-B1E6B6B4ED15}">
            <xm:f>NOT(ISERROR(SEARCH(#REF! = "Create",AG26)))</xm:f>
            <xm:f>#REF! = "Create"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AG26</xm:sqref>
        </x14:conditionalFormatting>
        <x14:conditionalFormatting xmlns:xm="http://schemas.microsoft.com/office/excel/2006/main">
          <x14:cfRule type="containsText" priority="144" operator="containsText" id="{00715189-138B-4E00-816A-3542F576587D}">
            <xm:f>NOT(ISERROR(SEARCH(#REF! = "Create",K27)))</xm:f>
            <xm:f>#REF! = "Create"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AG27:AG30 K30:K36</xm:sqref>
        </x14:conditionalFormatting>
        <x14:conditionalFormatting xmlns:xm="http://schemas.microsoft.com/office/excel/2006/main">
          <x14:cfRule type="containsText" priority="3686" operator="containsText" id="{7488B075-9535-4F82-8570-28865303784C}">
            <xm:f>NOT(ISERROR(SEARCH(#REF! = "Create",AG39)))</xm:f>
            <xm:f>#REF! = "Create"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AG39:AG43</xm:sqref>
        </x14:conditionalFormatting>
        <x14:conditionalFormatting xmlns:xm="http://schemas.microsoft.com/office/excel/2006/main">
          <x14:cfRule type="containsText" priority="3676" operator="containsText" id="{72B4DAE7-4470-4A91-8955-1C56862D0397}">
            <xm:f>NOT(ISERROR(SEARCH(#REF! = "Create",V4)))</xm:f>
            <xm:f>#REF! = "Create"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V4:V48 AF4:AF48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7BF19-BC34-4692-8296-D69316D7B9FC}">
  <sheetPr codeName="Sheet2"/>
  <dimension ref="A1:F44"/>
  <sheetViews>
    <sheetView topLeftCell="A9" workbookViewId="0">
      <selection activeCell="A16" sqref="A16:A32"/>
    </sheetView>
  </sheetViews>
  <sheetFormatPr defaultRowHeight="15" x14ac:dyDescent="0.25"/>
  <cols>
    <col min="1" max="1" width="15.140625" style="19" customWidth="1"/>
    <col min="2" max="2" width="58.140625" style="19" customWidth="1"/>
    <col min="3" max="3" width="10.140625" style="19" customWidth="1"/>
    <col min="4" max="4" width="45.42578125" style="19" customWidth="1"/>
  </cols>
  <sheetData>
    <row r="1" spans="1:6" ht="25.5" customHeight="1" x14ac:dyDescent="0.25">
      <c r="A1" s="18" t="s">
        <v>12</v>
      </c>
      <c r="B1" s="18" t="s">
        <v>13</v>
      </c>
      <c r="C1" s="18" t="s">
        <v>14</v>
      </c>
      <c r="D1" s="18" t="s">
        <v>117</v>
      </c>
      <c r="E1" t="s">
        <v>118</v>
      </c>
      <c r="F1" t="s">
        <v>24</v>
      </c>
    </row>
    <row r="2" spans="1:6" x14ac:dyDescent="0.25">
      <c r="A2" s="19" t="s">
        <v>28</v>
      </c>
      <c r="B2" s="19" t="s">
        <v>29</v>
      </c>
      <c r="C2" s="19" t="s">
        <v>30</v>
      </c>
      <c r="E2" t="s">
        <v>118</v>
      </c>
    </row>
    <row r="3" spans="1:6" x14ac:dyDescent="0.25">
      <c r="A3" s="19" t="s">
        <v>34</v>
      </c>
      <c r="B3" s="19" t="s">
        <v>35</v>
      </c>
      <c r="C3" s="19" t="s">
        <v>36</v>
      </c>
      <c r="D3" s="19" t="s">
        <v>42</v>
      </c>
      <c r="E3" t="s">
        <v>118</v>
      </c>
      <c r="F3">
        <v>631</v>
      </c>
    </row>
    <row r="4" spans="1:6" x14ac:dyDescent="0.25">
      <c r="A4" s="19" t="s">
        <v>34</v>
      </c>
      <c r="B4" s="19">
        <v>1012</v>
      </c>
      <c r="C4" s="19" t="s">
        <v>43</v>
      </c>
      <c r="D4" s="19" t="s">
        <v>44</v>
      </c>
      <c r="E4" t="s">
        <v>118</v>
      </c>
      <c r="F4">
        <v>2000</v>
      </c>
    </row>
    <row r="5" spans="1:6" x14ac:dyDescent="0.25">
      <c r="A5" s="19" t="s">
        <v>34</v>
      </c>
      <c r="B5" s="19">
        <v>1032</v>
      </c>
      <c r="C5" s="19" t="s">
        <v>43</v>
      </c>
      <c r="D5" s="19" t="s">
        <v>45</v>
      </c>
      <c r="E5" t="s">
        <v>118</v>
      </c>
      <c r="F5">
        <v>1200</v>
      </c>
    </row>
    <row r="6" spans="1:6" x14ac:dyDescent="0.25">
      <c r="A6" s="19" t="s">
        <v>34</v>
      </c>
      <c r="B6" s="19" t="s">
        <v>47</v>
      </c>
      <c r="C6" s="19" t="s">
        <v>48</v>
      </c>
      <c r="D6" s="19" t="s">
        <v>50</v>
      </c>
      <c r="E6" t="s">
        <v>118</v>
      </c>
      <c r="F6">
        <v>800</v>
      </c>
    </row>
    <row r="7" spans="1:6" x14ac:dyDescent="0.25">
      <c r="A7" s="19" t="s">
        <v>34</v>
      </c>
      <c r="B7" s="19" t="s">
        <v>52</v>
      </c>
      <c r="C7" s="19" t="s">
        <v>48</v>
      </c>
      <c r="D7" s="19" t="s">
        <v>50</v>
      </c>
      <c r="E7" t="s">
        <v>118</v>
      </c>
      <c r="F7">
        <v>800</v>
      </c>
    </row>
    <row r="8" spans="1:6" x14ac:dyDescent="0.25">
      <c r="A8" s="19" t="s">
        <v>34</v>
      </c>
      <c r="B8" s="19">
        <v>1011</v>
      </c>
      <c r="C8" s="19" t="s">
        <v>54</v>
      </c>
      <c r="D8" s="19" t="s">
        <v>55</v>
      </c>
      <c r="E8" t="s">
        <v>118</v>
      </c>
      <c r="F8">
        <v>2000</v>
      </c>
    </row>
    <row r="9" spans="1:6" x14ac:dyDescent="0.25">
      <c r="A9" s="19" t="s">
        <v>34</v>
      </c>
      <c r="B9" s="19">
        <v>1013</v>
      </c>
      <c r="C9" s="19" t="s">
        <v>54</v>
      </c>
      <c r="D9" s="19" t="s">
        <v>56</v>
      </c>
      <c r="E9" t="s">
        <v>118</v>
      </c>
      <c r="F9">
        <v>2000</v>
      </c>
    </row>
    <row r="10" spans="1:6" x14ac:dyDescent="0.25">
      <c r="A10" s="19" t="s">
        <v>34</v>
      </c>
      <c r="B10" s="19">
        <v>1031</v>
      </c>
      <c r="C10" s="19" t="s">
        <v>54</v>
      </c>
      <c r="D10" s="19" t="s">
        <v>57</v>
      </c>
      <c r="E10" t="s">
        <v>118</v>
      </c>
      <c r="F10">
        <v>600</v>
      </c>
    </row>
    <row r="11" spans="1:6" x14ac:dyDescent="0.25">
      <c r="A11" s="19" t="s">
        <v>34</v>
      </c>
      <c r="B11" s="19">
        <v>1033</v>
      </c>
      <c r="C11" s="19" t="s">
        <v>54</v>
      </c>
      <c r="D11" s="19" t="s">
        <v>58</v>
      </c>
      <c r="E11" t="s">
        <v>118</v>
      </c>
      <c r="F11">
        <v>600</v>
      </c>
    </row>
    <row r="12" spans="1:6" x14ac:dyDescent="0.25">
      <c r="A12" s="19" t="s">
        <v>34</v>
      </c>
      <c r="B12" s="19">
        <v>1035</v>
      </c>
      <c r="C12" s="19" t="s">
        <v>54</v>
      </c>
      <c r="D12" s="19" t="s">
        <v>59</v>
      </c>
      <c r="E12" t="s">
        <v>118</v>
      </c>
      <c r="F12">
        <v>2000</v>
      </c>
    </row>
    <row r="13" spans="1:6" x14ac:dyDescent="0.25">
      <c r="A13" s="19" t="s">
        <v>34</v>
      </c>
      <c r="B13" s="19" t="s">
        <v>60</v>
      </c>
      <c r="C13" s="19" t="s">
        <v>61</v>
      </c>
      <c r="D13" s="19" t="s">
        <v>62</v>
      </c>
      <c r="E13" t="s">
        <v>118</v>
      </c>
      <c r="F13">
        <v>2000</v>
      </c>
    </row>
    <row r="14" spans="1:6" x14ac:dyDescent="0.25">
      <c r="A14" s="19" t="s">
        <v>34</v>
      </c>
      <c r="B14" s="19" t="s">
        <v>63</v>
      </c>
      <c r="C14" s="19" t="s">
        <v>64</v>
      </c>
      <c r="D14" s="19" t="s">
        <v>66</v>
      </c>
      <c r="E14" t="s">
        <v>118</v>
      </c>
      <c r="F14">
        <v>742</v>
      </c>
    </row>
    <row r="15" spans="1:6" x14ac:dyDescent="0.25">
      <c r="A15" s="19" t="s">
        <v>34</v>
      </c>
      <c r="B15" s="19" t="s">
        <v>60</v>
      </c>
      <c r="C15" s="19" t="s">
        <v>67</v>
      </c>
      <c r="D15" s="19" t="s">
        <v>68</v>
      </c>
      <c r="E15" t="s">
        <v>118</v>
      </c>
      <c r="F15">
        <v>600</v>
      </c>
    </row>
    <row r="16" spans="1:6" x14ac:dyDescent="0.25">
      <c r="A16" s="19" t="s">
        <v>28</v>
      </c>
      <c r="B16" s="19" t="s">
        <v>69</v>
      </c>
      <c r="C16" s="19" t="s">
        <v>70</v>
      </c>
      <c r="D16" s="19">
        <v>115</v>
      </c>
      <c r="E16" t="s">
        <v>118</v>
      </c>
      <c r="F16">
        <v>390</v>
      </c>
    </row>
    <row r="17" spans="1:6" x14ac:dyDescent="0.25">
      <c r="A17" s="19" t="s">
        <v>28</v>
      </c>
      <c r="B17" s="19" t="s">
        <v>73</v>
      </c>
      <c r="C17" s="19" t="s">
        <v>64</v>
      </c>
      <c r="D17" s="19">
        <v>115</v>
      </c>
      <c r="E17" t="s">
        <v>118</v>
      </c>
      <c r="F17">
        <v>631</v>
      </c>
    </row>
    <row r="18" spans="1:6" x14ac:dyDescent="0.25">
      <c r="A18" s="19" t="s">
        <v>28</v>
      </c>
      <c r="B18" s="19" t="s">
        <v>75</v>
      </c>
      <c r="C18" s="19" t="s">
        <v>64</v>
      </c>
      <c r="D18" s="19">
        <v>115</v>
      </c>
      <c r="E18" t="s">
        <v>118</v>
      </c>
      <c r="F18">
        <v>493</v>
      </c>
    </row>
    <row r="19" spans="1:6" x14ac:dyDescent="0.25">
      <c r="A19" s="19" t="s">
        <v>28</v>
      </c>
      <c r="B19" s="19" t="s">
        <v>77</v>
      </c>
      <c r="C19" s="19" t="s">
        <v>64</v>
      </c>
      <c r="D19" s="19">
        <v>115</v>
      </c>
      <c r="E19" t="s">
        <v>118</v>
      </c>
      <c r="F19">
        <v>449</v>
      </c>
    </row>
    <row r="20" spans="1:6" x14ac:dyDescent="0.25">
      <c r="A20" s="19" t="s">
        <v>28</v>
      </c>
      <c r="B20" s="19" t="s">
        <v>79</v>
      </c>
      <c r="C20" s="19" t="s">
        <v>64</v>
      </c>
      <c r="D20" s="19">
        <v>115</v>
      </c>
      <c r="E20" t="s">
        <v>118</v>
      </c>
      <c r="F20">
        <v>493</v>
      </c>
    </row>
    <row r="21" spans="1:6" x14ac:dyDescent="0.25">
      <c r="A21" s="19" t="s">
        <v>28</v>
      </c>
      <c r="B21" s="19" t="s">
        <v>80</v>
      </c>
      <c r="C21" s="19" t="s">
        <v>64</v>
      </c>
      <c r="D21" s="19">
        <v>115</v>
      </c>
      <c r="E21" t="s">
        <v>118</v>
      </c>
      <c r="F21">
        <v>449</v>
      </c>
    </row>
    <row r="22" spans="1:6" x14ac:dyDescent="0.25">
      <c r="A22" s="19" t="s">
        <v>28</v>
      </c>
      <c r="B22" s="19" t="s">
        <v>81</v>
      </c>
      <c r="C22" s="19" t="s">
        <v>64</v>
      </c>
      <c r="D22" s="19">
        <v>115</v>
      </c>
      <c r="F22">
        <v>390</v>
      </c>
    </row>
    <row r="23" spans="1:6" x14ac:dyDescent="0.25">
      <c r="A23" s="19" t="s">
        <v>28</v>
      </c>
      <c r="B23" s="19" t="s">
        <v>83</v>
      </c>
      <c r="C23" s="19" t="s">
        <v>64</v>
      </c>
      <c r="D23" s="19">
        <v>115</v>
      </c>
      <c r="F23">
        <v>493</v>
      </c>
    </row>
    <row r="24" spans="1:6" x14ac:dyDescent="0.25">
      <c r="A24" s="19" t="s">
        <v>28</v>
      </c>
      <c r="B24" s="19" t="s">
        <v>85</v>
      </c>
      <c r="C24" s="19" t="s">
        <v>64</v>
      </c>
      <c r="D24" s="19">
        <v>115</v>
      </c>
      <c r="F24">
        <v>449</v>
      </c>
    </row>
    <row r="25" spans="1:6" x14ac:dyDescent="0.25">
      <c r="A25" s="19" t="s">
        <v>28</v>
      </c>
      <c r="B25" s="19" t="s">
        <v>86</v>
      </c>
      <c r="C25" s="19" t="s">
        <v>64</v>
      </c>
      <c r="D25" s="19">
        <v>115</v>
      </c>
      <c r="F25">
        <v>493</v>
      </c>
    </row>
    <row r="26" spans="1:6" x14ac:dyDescent="0.25">
      <c r="A26" s="19" t="s">
        <v>28</v>
      </c>
      <c r="B26" s="19" t="s">
        <v>87</v>
      </c>
      <c r="C26" s="19" t="s">
        <v>64</v>
      </c>
      <c r="D26" s="19">
        <v>115</v>
      </c>
      <c r="F26">
        <v>449</v>
      </c>
    </row>
    <row r="27" spans="1:6" x14ac:dyDescent="0.25">
      <c r="A27" s="19" t="s">
        <v>28</v>
      </c>
      <c r="B27" s="19" t="s">
        <v>88</v>
      </c>
      <c r="C27" s="19" t="s">
        <v>64</v>
      </c>
      <c r="D27" s="19">
        <v>115</v>
      </c>
      <c r="F27">
        <v>390</v>
      </c>
    </row>
    <row r="28" spans="1:6" x14ac:dyDescent="0.25">
      <c r="A28" s="19" t="s">
        <v>28</v>
      </c>
      <c r="B28" s="19" t="s">
        <v>90</v>
      </c>
      <c r="C28" s="19" t="s">
        <v>64</v>
      </c>
      <c r="D28" s="19">
        <v>115</v>
      </c>
      <c r="F28">
        <v>493</v>
      </c>
    </row>
    <row r="29" spans="1:6" x14ac:dyDescent="0.25">
      <c r="A29" s="19" t="s">
        <v>28</v>
      </c>
      <c r="B29" s="19" t="s">
        <v>93</v>
      </c>
      <c r="C29" s="19" t="s">
        <v>54</v>
      </c>
      <c r="D29" s="19">
        <v>115</v>
      </c>
      <c r="E29" t="s">
        <v>118</v>
      </c>
      <c r="F29">
        <v>2000</v>
      </c>
    </row>
    <row r="30" spans="1:6" x14ac:dyDescent="0.25">
      <c r="A30" s="19" t="s">
        <v>28</v>
      </c>
      <c r="B30" s="19" t="s">
        <v>95</v>
      </c>
      <c r="C30" s="19" t="s">
        <v>70</v>
      </c>
      <c r="D30" s="19">
        <v>115</v>
      </c>
      <c r="E30" t="s">
        <v>118</v>
      </c>
      <c r="F30">
        <v>400</v>
      </c>
    </row>
    <row r="31" spans="1:6" x14ac:dyDescent="0.25">
      <c r="A31" s="19" t="s">
        <v>28</v>
      </c>
      <c r="B31" s="19" t="s">
        <v>95</v>
      </c>
      <c r="C31" s="19" t="s">
        <v>64</v>
      </c>
      <c r="D31" s="19">
        <v>115</v>
      </c>
      <c r="E31" t="s">
        <v>118</v>
      </c>
      <c r="F31">
        <v>493</v>
      </c>
    </row>
    <row r="32" spans="1:6" x14ac:dyDescent="0.25">
      <c r="A32" s="19" t="s">
        <v>28</v>
      </c>
      <c r="B32" s="19" t="s">
        <v>97</v>
      </c>
      <c r="C32" s="19" t="s">
        <v>54</v>
      </c>
      <c r="D32" s="19">
        <v>115</v>
      </c>
      <c r="E32" t="s">
        <v>118</v>
      </c>
      <c r="F32">
        <v>2000</v>
      </c>
    </row>
    <row r="33" spans="1:6" x14ac:dyDescent="0.25">
      <c r="A33" s="19" t="s">
        <v>99</v>
      </c>
      <c r="B33" s="19" t="s">
        <v>100</v>
      </c>
      <c r="C33" s="19" t="s">
        <v>36</v>
      </c>
      <c r="D33" s="19" t="s">
        <v>119</v>
      </c>
      <c r="E33" t="s">
        <v>118</v>
      </c>
      <c r="F33">
        <v>2990</v>
      </c>
    </row>
    <row r="34" spans="1:6" x14ac:dyDescent="0.25">
      <c r="A34" s="19" t="s">
        <v>99</v>
      </c>
      <c r="B34" s="19" t="s">
        <v>102</v>
      </c>
      <c r="C34" s="19" t="s">
        <v>36</v>
      </c>
      <c r="D34" s="19" t="s">
        <v>119</v>
      </c>
      <c r="E34" t="s">
        <v>118</v>
      </c>
      <c r="F34">
        <v>2990</v>
      </c>
    </row>
    <row r="35" spans="1:6" x14ac:dyDescent="0.25">
      <c r="A35" s="19" t="s">
        <v>99</v>
      </c>
      <c r="B35" s="19">
        <v>132</v>
      </c>
      <c r="C35" s="19" t="s">
        <v>43</v>
      </c>
      <c r="D35" s="19" t="s">
        <v>103</v>
      </c>
      <c r="E35" t="s">
        <v>118</v>
      </c>
      <c r="F35">
        <v>2000</v>
      </c>
    </row>
    <row r="36" spans="1:6" x14ac:dyDescent="0.25">
      <c r="A36" s="19" t="s">
        <v>99</v>
      </c>
      <c r="B36" s="19" t="s">
        <v>104</v>
      </c>
      <c r="C36" s="19" t="s">
        <v>48</v>
      </c>
      <c r="D36" s="19" t="s">
        <v>50</v>
      </c>
      <c r="E36" t="s">
        <v>118</v>
      </c>
      <c r="F36">
        <v>2000</v>
      </c>
    </row>
    <row r="37" spans="1:6" x14ac:dyDescent="0.25">
      <c r="A37" s="19" t="s">
        <v>99</v>
      </c>
      <c r="B37" s="19">
        <v>131</v>
      </c>
      <c r="C37" s="19" t="s">
        <v>54</v>
      </c>
      <c r="D37" s="19" t="s">
        <v>106</v>
      </c>
      <c r="E37" t="s">
        <v>118</v>
      </c>
      <c r="F37">
        <v>2000</v>
      </c>
    </row>
    <row r="38" spans="1:6" x14ac:dyDescent="0.25">
      <c r="A38" s="19" t="s">
        <v>99</v>
      </c>
      <c r="B38" s="19">
        <v>133</v>
      </c>
      <c r="C38" s="19" t="s">
        <v>54</v>
      </c>
      <c r="D38" s="19" t="s">
        <v>107</v>
      </c>
      <c r="E38" t="s">
        <v>118</v>
      </c>
      <c r="F38">
        <v>2000</v>
      </c>
    </row>
    <row r="39" spans="1:6" x14ac:dyDescent="0.25">
      <c r="A39" s="19" t="s">
        <v>99</v>
      </c>
      <c r="B39" s="19">
        <v>135</v>
      </c>
      <c r="C39" s="19" t="s">
        <v>54</v>
      </c>
      <c r="D39" s="19" t="s">
        <v>108</v>
      </c>
      <c r="E39" t="s">
        <v>118</v>
      </c>
      <c r="F39">
        <v>2000</v>
      </c>
    </row>
    <row r="40" spans="1:6" x14ac:dyDescent="0.25">
      <c r="A40" s="19" t="s">
        <v>99</v>
      </c>
      <c r="B40" s="19">
        <v>137</v>
      </c>
      <c r="C40" s="19" t="s">
        <v>54</v>
      </c>
      <c r="D40" s="19" t="s">
        <v>109</v>
      </c>
      <c r="E40" t="s">
        <v>118</v>
      </c>
      <c r="F40">
        <v>600</v>
      </c>
    </row>
    <row r="41" spans="1:6" x14ac:dyDescent="0.25">
      <c r="A41" s="19" t="s">
        <v>99</v>
      </c>
      <c r="B41" s="19">
        <v>139</v>
      </c>
      <c r="C41" s="19" t="s">
        <v>54</v>
      </c>
      <c r="D41" s="19" t="s">
        <v>110</v>
      </c>
      <c r="E41" t="s">
        <v>118</v>
      </c>
      <c r="F41">
        <v>600</v>
      </c>
    </row>
    <row r="42" spans="1:6" x14ac:dyDescent="0.25">
      <c r="A42" s="19" t="s">
        <v>99</v>
      </c>
      <c r="B42" s="19" t="s">
        <v>111</v>
      </c>
      <c r="C42" s="19" t="s">
        <v>61</v>
      </c>
      <c r="D42" s="19" t="s">
        <v>112</v>
      </c>
      <c r="E42" t="s">
        <v>118</v>
      </c>
      <c r="F42">
        <v>400</v>
      </c>
    </row>
    <row r="43" spans="1:6" x14ac:dyDescent="0.25">
      <c r="A43" s="19" t="s">
        <v>99</v>
      </c>
      <c r="B43" s="19" t="s">
        <v>113</v>
      </c>
      <c r="C43" s="19" t="s">
        <v>64</v>
      </c>
      <c r="D43" s="19" t="s">
        <v>115</v>
      </c>
      <c r="F43">
        <v>725</v>
      </c>
    </row>
    <row r="44" spans="1:6" x14ac:dyDescent="0.25">
      <c r="A44" s="19" t="s">
        <v>99</v>
      </c>
      <c r="B44" s="19" t="s">
        <v>111</v>
      </c>
      <c r="C44" s="19" t="s">
        <v>67</v>
      </c>
      <c r="D44" s="19" t="s">
        <v>96</v>
      </c>
      <c r="F44">
        <v>400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9B3F8-73AE-45BA-898B-45D355FD7262}">
  <sheetPr codeName="Sheet3"/>
  <dimension ref="A1:M4"/>
  <sheetViews>
    <sheetView workbookViewId="0">
      <selection activeCell="M14" sqref="M14"/>
    </sheetView>
  </sheetViews>
  <sheetFormatPr defaultRowHeight="15" x14ac:dyDescent="0.25"/>
  <cols>
    <col min="1" max="1" width="10.85546875" customWidth="1"/>
    <col min="2" max="4" width="6.7109375" customWidth="1"/>
    <col min="5" max="5" width="2.85546875" customWidth="1"/>
    <col min="6" max="9" width="6.7109375" customWidth="1"/>
    <col min="10" max="10" width="2.85546875" customWidth="1"/>
    <col min="11" max="11" width="9.42578125" customWidth="1"/>
    <col min="12" max="13" width="6.7109375" customWidth="1"/>
  </cols>
  <sheetData>
    <row r="1" spans="1:13" s="4" customFormat="1" ht="48" customHeight="1" x14ac:dyDescent="0.25">
      <c r="A1" s="26" t="s">
        <v>120</v>
      </c>
      <c r="B1" s="26"/>
      <c r="C1" s="26"/>
      <c r="D1" s="26"/>
      <c r="F1" s="26" t="s">
        <v>121</v>
      </c>
      <c r="G1" s="26"/>
      <c r="H1" s="26"/>
      <c r="I1" s="26"/>
      <c r="K1" s="26" t="s">
        <v>122</v>
      </c>
      <c r="L1" s="26"/>
      <c r="M1" s="26"/>
    </row>
    <row r="2" spans="1:13" ht="18" x14ac:dyDescent="0.35">
      <c r="A2" s="2" t="s">
        <v>123</v>
      </c>
      <c r="B2">
        <v>60</v>
      </c>
      <c r="C2">
        <v>115</v>
      </c>
      <c r="D2">
        <v>70</v>
      </c>
      <c r="F2" s="2" t="s">
        <v>123</v>
      </c>
      <c r="G2">
        <v>60</v>
      </c>
      <c r="H2">
        <v>70</v>
      </c>
      <c r="I2">
        <v>115</v>
      </c>
      <c r="K2" s="2" t="s">
        <v>123</v>
      </c>
      <c r="L2">
        <v>60</v>
      </c>
      <c r="M2">
        <v>115</v>
      </c>
    </row>
    <row r="3" spans="1:13" ht="18" x14ac:dyDescent="0.35">
      <c r="A3" s="2" t="s">
        <v>124</v>
      </c>
      <c r="B3">
        <v>62.4</v>
      </c>
      <c r="C3">
        <v>82.9</v>
      </c>
      <c r="D3">
        <v>14.2</v>
      </c>
      <c r="F3" s="2" t="s">
        <v>125</v>
      </c>
      <c r="G3">
        <v>300</v>
      </c>
      <c r="H3">
        <v>400</v>
      </c>
      <c r="I3">
        <v>416</v>
      </c>
      <c r="K3" s="2" t="s">
        <v>126</v>
      </c>
      <c r="L3" s="1">
        <f>L2/SQRT(3)</f>
        <v>34.641016151377549</v>
      </c>
      <c r="M3" s="1">
        <f>M2/SQRT(3)</f>
        <v>66.395280956806971</v>
      </c>
    </row>
    <row r="4" spans="1:13" x14ac:dyDescent="0.25">
      <c r="A4" s="2" t="s">
        <v>125</v>
      </c>
      <c r="B4" s="3">
        <f>(1000*B3/3)/(B2/SQRT(3))</f>
        <v>600.44427995721071</v>
      </c>
      <c r="C4" s="3">
        <f>(1000*C3/3)/(C2/SQRT(3))</f>
        <v>416.19423752886928</v>
      </c>
      <c r="D4" s="3">
        <f>(1000*D3/3)/(D2/SQRT(3))</f>
        <v>117.11962603560978</v>
      </c>
      <c r="F4" s="2" t="s">
        <v>127</v>
      </c>
      <c r="G4" s="1">
        <f>3*G3*(G2/SQRT(3))/1000</f>
        <v>31.176914536239796</v>
      </c>
      <c r="H4" s="1">
        <f>3*H3*(H2/SQRT(3))/1000</f>
        <v>48.49742261192857</v>
      </c>
      <c r="I4" s="1">
        <f>3*I3*(I2/SQRT(3))/1000</f>
        <v>82.861310634095105</v>
      </c>
      <c r="K4" s="2"/>
      <c r="L4" s="1"/>
      <c r="M4" s="1"/>
    </row>
  </sheetData>
  <mergeCells count="3">
    <mergeCell ref="A1:D1"/>
    <mergeCell ref="F1:I1"/>
    <mergeCell ref="K1:M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4f40b3b6-a747-41a9-99cd-b6879b4cfc91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1F1B5192E9644DBE4242D09904D67A" ma:contentTypeVersion="6" ma:contentTypeDescription="Create a new document." ma:contentTypeScope="" ma:versionID="0e23fab15310332114af1b1126e1e9d0">
  <xsd:schema xmlns:xsd="http://www.w3.org/2001/XMLSchema" xmlns:xs="http://www.w3.org/2001/XMLSchema" xmlns:p="http://schemas.microsoft.com/office/2006/metadata/properties" xmlns:ns2="09435f1e-d2ba-40f7-9bac-16a8411d6458" xmlns:ns3="4f40b3b6-a747-41a9-99cd-b6879b4cfc91" targetNamespace="http://schemas.microsoft.com/office/2006/metadata/properties" ma:root="true" ma:fieldsID="5885ac29c59120ff94baf249f7de163f" ns2:_="" ns3:_="">
    <xsd:import namespace="09435f1e-d2ba-40f7-9bac-16a8411d6458"/>
    <xsd:import namespace="4f40b3b6-a747-41a9-99cd-b6879b4cfc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435f1e-d2ba-40f7-9bac-16a8411d64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40b3b6-a747-41a9-99cd-b6879b4cfc9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EBCCD0-0573-44BB-AE36-F3E1A5C1966D}">
  <ds:schemaRefs>
    <ds:schemaRef ds:uri="http://schemas.microsoft.com/office/2006/metadata/properties"/>
    <ds:schemaRef ds:uri="http://schemas.microsoft.com/office/infopath/2007/PartnerControls"/>
    <ds:schemaRef ds:uri="4f40b3b6-a747-41a9-99cd-b6879b4cfc91"/>
  </ds:schemaRefs>
</ds:datastoreItem>
</file>

<file path=customXml/itemProps2.xml><?xml version="1.0" encoding="utf-8"?>
<ds:datastoreItem xmlns:ds="http://schemas.openxmlformats.org/officeDocument/2006/customXml" ds:itemID="{7C2D18EB-E12F-41E1-9C38-E0A2D07946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435f1e-d2ba-40f7-9bac-16a8411d6458"/>
    <ds:schemaRef ds:uri="4f40b3b6-a747-41a9-99cd-b6879b4cfc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3CE8A89-9C6E-4667-97E4-C36214D5C48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Facility Summary</vt:lpstr>
      <vt:lpstr>CAISO Update</vt:lpstr>
      <vt:lpstr>Source Doc Ref Tbl</vt:lpstr>
      <vt:lpstr>Calcs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Vo</dc:creator>
  <cp:keywords/>
  <dc:description/>
  <cp:lastModifiedBy>Brian Che</cp:lastModifiedBy>
  <cp:revision/>
  <dcterms:created xsi:type="dcterms:W3CDTF">2018-08-29T22:55:09Z</dcterms:created>
  <dcterms:modified xsi:type="dcterms:W3CDTF">2025-10-21T23:08:35Z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0x010100CE1F1B5192E9644DBE4242D09904D67A</vt:lpwstr>
  </property>
  <property fmtid="{D5CDD505-2E9C-101B-9397-08002B2CF9AE}" pid="3" name="Order">
    <vt:r8>239900</vt:r8>
  </property>
  <property fmtid="{D5CDD505-2E9C-101B-9397-08002B2CF9AE}" pid="4" name="pgeRecordCategory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MediaServiceImageTags">
    <vt:lpwstr/>
  </property>
</Properties>
</file>